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esktop\"/>
    </mc:Choice>
  </mc:AlternateContent>
  <xr:revisionPtr revIDLastSave="0" documentId="13_ncr:1_{2AE08CE5-2722-40D1-9311-1DC9B89F11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4" i="1" l="1"/>
  <c r="BI13" i="1"/>
  <c r="BH21" i="1"/>
  <c r="BH57" i="1"/>
  <c r="BH2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F205" i="1"/>
  <c r="BF204" i="1"/>
  <c r="BF203" i="1"/>
  <c r="BF202" i="1"/>
  <c r="BF201" i="1"/>
  <c r="BF200" i="1"/>
  <c r="BF199" i="1"/>
  <c r="BF198" i="1"/>
  <c r="BF197" i="1"/>
  <c r="BF196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2" i="1"/>
  <c r="BI11" i="1"/>
  <c r="BI10" i="1"/>
  <c r="BI9" i="1"/>
  <c r="BI8" i="1"/>
  <c r="BI7" i="1"/>
  <c r="BI6" i="1"/>
  <c r="BI5" i="1"/>
  <c r="BI4" i="1"/>
  <c r="BI3" i="1"/>
  <c r="BI2" i="1"/>
  <c r="AX17" i="1"/>
  <c r="AW17" i="1"/>
  <c r="AX16" i="1"/>
  <c r="AW16" i="1"/>
  <c r="AX15" i="1"/>
  <c r="AW15" i="1"/>
  <c r="AM17" i="1"/>
  <c r="AL17" i="1"/>
  <c r="AM16" i="1"/>
  <c r="AL16" i="1"/>
  <c r="AM15" i="1"/>
  <c r="AL15" i="1"/>
  <c r="AB17" i="1"/>
  <c r="AA17" i="1"/>
  <c r="AB16" i="1"/>
  <c r="AA16" i="1"/>
  <c r="AB15" i="1"/>
  <c r="AA15" i="1"/>
  <c r="R17" i="1"/>
  <c r="Q17" i="1"/>
  <c r="R16" i="1"/>
  <c r="Q16" i="1"/>
  <c r="R15" i="1"/>
  <c r="Q15" i="1"/>
  <c r="H15" i="1"/>
  <c r="H16" i="1"/>
  <c r="H17" i="1"/>
  <c r="G15" i="1"/>
  <c r="G16" i="1"/>
  <c r="G17" i="1"/>
  <c r="AM14" i="1"/>
  <c r="AX14" i="1"/>
  <c r="AB14" i="1"/>
  <c r="R14" i="1"/>
  <c r="H14" i="1"/>
  <c r="G14" i="1"/>
  <c r="Q14" i="1"/>
  <c r="AA14" i="1"/>
  <c r="AL14" i="1"/>
  <c r="AW14" i="1"/>
  <c r="AJ205" i="1"/>
  <c r="AJ204" i="1"/>
  <c r="AJ203" i="1"/>
  <c r="AJ202" i="1"/>
  <c r="AJ201" i="1"/>
  <c r="AJ200" i="1"/>
  <c r="AJ199" i="1"/>
  <c r="AJ198" i="1"/>
  <c r="AJ197" i="1"/>
  <c r="AJ196" i="1"/>
  <c r="O205" i="1"/>
  <c r="O204" i="1"/>
  <c r="O203" i="1"/>
  <c r="O202" i="1"/>
  <c r="O201" i="1"/>
  <c r="O200" i="1"/>
  <c r="O199" i="1"/>
  <c r="O198" i="1"/>
  <c r="O197" i="1"/>
  <c r="O196" i="1"/>
  <c r="E205" i="1"/>
  <c r="E204" i="1"/>
  <c r="E203" i="1"/>
  <c r="E202" i="1"/>
  <c r="E201" i="1"/>
  <c r="E200" i="1"/>
  <c r="E199" i="1"/>
  <c r="E198" i="1"/>
  <c r="E197" i="1"/>
  <c r="E196" i="1"/>
  <c r="Y205" i="1"/>
  <c r="Y204" i="1"/>
  <c r="Y203" i="1"/>
  <c r="Y202" i="1"/>
  <c r="Y201" i="1"/>
  <c r="Y200" i="1"/>
  <c r="Y199" i="1"/>
  <c r="Y198" i="1"/>
  <c r="Y197" i="1"/>
  <c r="Y196" i="1"/>
  <c r="AU197" i="1"/>
  <c r="AU198" i="1"/>
  <c r="AU199" i="1"/>
  <c r="AU200" i="1"/>
  <c r="AU201" i="1"/>
  <c r="AU202" i="1"/>
  <c r="AU203" i="1"/>
  <c r="AU204" i="1"/>
  <c r="AU205" i="1"/>
  <c r="AU196" i="1"/>
  <c r="Y206" i="1" l="1"/>
  <c r="AU206" i="1"/>
  <c r="BH193" i="1"/>
  <c r="BF206" i="1"/>
  <c r="BI193" i="1"/>
  <c r="AJ206" i="1"/>
  <c r="O206" i="1"/>
  <c r="E206" i="1"/>
  <c r="AB182" i="1"/>
  <c r="AB183" i="1"/>
  <c r="AB184" i="1"/>
  <c r="AB185" i="1"/>
  <c r="AB186" i="1"/>
  <c r="AB187" i="1"/>
  <c r="AB188" i="1"/>
  <c r="AB189" i="1"/>
  <c r="AB190" i="1"/>
  <c r="AB191" i="1"/>
  <c r="AB192" i="1"/>
  <c r="AA182" i="1"/>
  <c r="AA183" i="1"/>
  <c r="AA184" i="1"/>
  <c r="AA185" i="1"/>
  <c r="AA186" i="1"/>
  <c r="AA187" i="1"/>
  <c r="AA188" i="1"/>
  <c r="AA189" i="1"/>
  <c r="AA190" i="1"/>
  <c r="AA191" i="1"/>
  <c r="AA192" i="1"/>
  <c r="Q86" i="1"/>
  <c r="Q87" i="1"/>
  <c r="AA86" i="1"/>
  <c r="AA87" i="1"/>
  <c r="H87" i="1" l="1"/>
  <c r="G87" i="1"/>
  <c r="H86" i="1"/>
  <c r="G86" i="1"/>
  <c r="R87" i="1"/>
  <c r="R86" i="1"/>
  <c r="AX87" i="1"/>
  <c r="AW87" i="1"/>
  <c r="AX86" i="1"/>
  <c r="AW86" i="1"/>
  <c r="AM87" i="1"/>
  <c r="AL87" i="1"/>
  <c r="AM86" i="1"/>
  <c r="AL86" i="1"/>
  <c r="AB181" i="1" l="1"/>
  <c r="AA181" i="1"/>
  <c r="AB180" i="1"/>
  <c r="AA180" i="1"/>
  <c r="AB179" i="1"/>
  <c r="AA179" i="1"/>
  <c r="AB178" i="1"/>
  <c r="AA178" i="1"/>
  <c r="AB177" i="1"/>
  <c r="AA177" i="1"/>
  <c r="AX182" i="1"/>
  <c r="AX183" i="1"/>
  <c r="AX184" i="1"/>
  <c r="AX185" i="1"/>
  <c r="AX186" i="1"/>
  <c r="AX187" i="1"/>
  <c r="AX188" i="1"/>
  <c r="AX189" i="1"/>
  <c r="AX190" i="1"/>
  <c r="AX191" i="1"/>
  <c r="AX192" i="1"/>
  <c r="AW182" i="1"/>
  <c r="AW183" i="1"/>
  <c r="AW184" i="1"/>
  <c r="AW185" i="1"/>
  <c r="AW186" i="1"/>
  <c r="AW187" i="1"/>
  <c r="AW188" i="1"/>
  <c r="AW189" i="1"/>
  <c r="AW190" i="1"/>
  <c r="AW191" i="1"/>
  <c r="AW192" i="1"/>
  <c r="AX181" i="1"/>
  <c r="AW181" i="1"/>
  <c r="AX180" i="1" l="1"/>
  <c r="AW180" i="1"/>
  <c r="AX179" i="1"/>
  <c r="AW179" i="1"/>
  <c r="AX178" i="1"/>
  <c r="AW178" i="1"/>
  <c r="AX177" i="1"/>
  <c r="AW177" i="1"/>
  <c r="R183" i="1"/>
  <c r="R184" i="1"/>
  <c r="R185" i="1"/>
  <c r="R186" i="1"/>
  <c r="R187" i="1"/>
  <c r="R188" i="1"/>
  <c r="R189" i="1"/>
  <c r="R190" i="1"/>
  <c r="R191" i="1"/>
  <c r="R192" i="1"/>
  <c r="Q183" i="1"/>
  <c r="Q184" i="1"/>
  <c r="Q185" i="1"/>
  <c r="Q186" i="1"/>
  <c r="Q187" i="1"/>
  <c r="Q188" i="1"/>
  <c r="Q189" i="1"/>
  <c r="Q190" i="1"/>
  <c r="Q191" i="1"/>
  <c r="Q192" i="1"/>
  <c r="R182" i="1"/>
  <c r="R181" i="1"/>
  <c r="Q182" i="1"/>
  <c r="Q181" i="1"/>
  <c r="R180" i="1" l="1"/>
  <c r="Q180" i="1"/>
  <c r="R179" i="1"/>
  <c r="Q179" i="1"/>
  <c r="R178" i="1"/>
  <c r="R177" i="1"/>
  <c r="Q178" i="1"/>
  <c r="Q177" i="1"/>
  <c r="G192" i="1"/>
  <c r="H190" i="1"/>
  <c r="H184" i="1"/>
  <c r="H185" i="1"/>
  <c r="H186" i="1"/>
  <c r="H187" i="1"/>
  <c r="H188" i="1"/>
  <c r="H189" i="1"/>
  <c r="H191" i="1"/>
  <c r="H192" i="1"/>
  <c r="G184" i="1"/>
  <c r="G185" i="1"/>
  <c r="G186" i="1"/>
  <c r="G187" i="1"/>
  <c r="G188" i="1"/>
  <c r="G189" i="1"/>
  <c r="G190" i="1"/>
  <c r="G191" i="1"/>
  <c r="H183" i="1"/>
  <c r="G183" i="1"/>
  <c r="H182" i="1"/>
  <c r="G182" i="1"/>
  <c r="H181" i="1"/>
  <c r="G181" i="1"/>
  <c r="H180" i="1" l="1"/>
  <c r="G180" i="1"/>
  <c r="G179" i="1"/>
  <c r="H179" i="1"/>
  <c r="H178" i="1"/>
  <c r="G178" i="1"/>
  <c r="H177" i="1"/>
  <c r="G177" i="1"/>
  <c r="AX168" i="1" l="1"/>
  <c r="AX169" i="1"/>
  <c r="AX170" i="1"/>
  <c r="AX171" i="1"/>
  <c r="AX172" i="1"/>
  <c r="AX173" i="1"/>
  <c r="AX174" i="1"/>
  <c r="AX175" i="1"/>
  <c r="AX176" i="1"/>
  <c r="AW167" i="1"/>
  <c r="AW168" i="1"/>
  <c r="AW169" i="1"/>
  <c r="AW170" i="1"/>
  <c r="AW171" i="1"/>
  <c r="AW172" i="1"/>
  <c r="AW173" i="1"/>
  <c r="AW174" i="1"/>
  <c r="AW175" i="1"/>
  <c r="AW176" i="1"/>
  <c r="AX167" i="1" l="1"/>
  <c r="AX166" i="1"/>
  <c r="AW166" i="1"/>
  <c r="AX165" i="1"/>
  <c r="AW165" i="1"/>
  <c r="H173" i="1" l="1"/>
  <c r="H174" i="1"/>
  <c r="H175" i="1"/>
  <c r="H176" i="1"/>
  <c r="G174" i="1"/>
  <c r="G175" i="1"/>
  <c r="G176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G165" i="1"/>
  <c r="H165" i="1"/>
  <c r="R175" i="1"/>
  <c r="R176" i="1"/>
  <c r="Q166" i="1"/>
  <c r="Q167" i="1"/>
  <c r="Q168" i="1"/>
  <c r="Q169" i="1"/>
  <c r="Q170" i="1"/>
  <c r="Q171" i="1"/>
  <c r="Q172" i="1"/>
  <c r="Q173" i="1"/>
  <c r="Q174" i="1"/>
  <c r="Q175" i="1"/>
  <c r="Q176" i="1"/>
  <c r="R174" i="1"/>
  <c r="R173" i="1"/>
  <c r="R172" i="1"/>
  <c r="R171" i="1"/>
  <c r="R170" i="1"/>
  <c r="R169" i="1"/>
  <c r="R168" i="1"/>
  <c r="R167" i="1"/>
  <c r="Q165" i="1"/>
  <c r="R166" i="1"/>
  <c r="R165" i="1"/>
  <c r="AB176" i="1"/>
  <c r="AA176" i="1"/>
  <c r="AB175" i="1"/>
  <c r="AA175" i="1"/>
  <c r="AB174" i="1"/>
  <c r="AA174" i="1"/>
  <c r="AA173" i="1"/>
  <c r="AB173" i="1"/>
  <c r="AA172" i="1"/>
  <c r="AB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X162" i="1" l="1"/>
  <c r="AX163" i="1"/>
  <c r="AX164" i="1"/>
  <c r="AW162" i="1"/>
  <c r="AW163" i="1"/>
  <c r="AW164" i="1"/>
  <c r="AX161" i="1"/>
  <c r="AW161" i="1"/>
  <c r="AX160" i="1"/>
  <c r="AW160" i="1"/>
  <c r="AX159" i="1"/>
  <c r="AW159" i="1"/>
  <c r="AX158" i="1"/>
  <c r="AW158" i="1"/>
  <c r="AX157" i="1"/>
  <c r="AW157" i="1"/>
  <c r="AB162" i="1"/>
  <c r="AB163" i="1"/>
  <c r="AB164" i="1"/>
  <c r="AA162" i="1"/>
  <c r="AA163" i="1"/>
  <c r="AA164" i="1"/>
  <c r="AB161" i="1"/>
  <c r="AA161" i="1"/>
  <c r="AB160" i="1"/>
  <c r="AA160" i="1"/>
  <c r="AB159" i="1"/>
  <c r="AA159" i="1"/>
  <c r="AB158" i="1"/>
  <c r="AA158" i="1"/>
  <c r="AB157" i="1"/>
  <c r="AA157" i="1"/>
  <c r="R163" i="1"/>
  <c r="R164" i="1"/>
  <c r="Q163" i="1"/>
  <c r="Q164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H162" i="1"/>
  <c r="H163" i="1"/>
  <c r="H164" i="1"/>
  <c r="G162" i="1"/>
  <c r="G163" i="1"/>
  <c r="G164" i="1"/>
  <c r="H161" i="1"/>
  <c r="G161" i="1"/>
  <c r="H160" i="1"/>
  <c r="G160" i="1"/>
  <c r="G159" i="1"/>
  <c r="H159" i="1"/>
  <c r="G158" i="1"/>
  <c r="H158" i="1"/>
  <c r="H157" i="1"/>
  <c r="G157" i="1"/>
  <c r="H154" i="1"/>
  <c r="H155" i="1"/>
  <c r="H156" i="1"/>
  <c r="G154" i="1"/>
  <c r="G155" i="1"/>
  <c r="G156" i="1"/>
  <c r="H153" i="1"/>
  <c r="G153" i="1"/>
  <c r="H152" i="1"/>
  <c r="G152" i="1"/>
  <c r="G151" i="1"/>
  <c r="H151" i="1"/>
  <c r="H150" i="1"/>
  <c r="G150" i="1"/>
  <c r="G149" i="1"/>
  <c r="H149" i="1"/>
  <c r="AB154" i="1"/>
  <c r="AB155" i="1"/>
  <c r="AB156" i="1"/>
  <c r="AA154" i="1"/>
  <c r="AA155" i="1"/>
  <c r="AA156" i="1"/>
  <c r="AB153" i="1"/>
  <c r="AA153" i="1"/>
  <c r="AB152" i="1"/>
  <c r="AA152" i="1"/>
  <c r="AB151" i="1"/>
  <c r="AA151" i="1"/>
  <c r="AB150" i="1"/>
  <c r="AA150" i="1"/>
  <c r="AB149" i="1"/>
  <c r="AA149" i="1"/>
  <c r="R152" i="1"/>
  <c r="R153" i="1"/>
  <c r="R154" i="1"/>
  <c r="R155" i="1"/>
  <c r="R156" i="1"/>
  <c r="Q152" i="1"/>
  <c r="Q153" i="1"/>
  <c r="Q154" i="1"/>
  <c r="Q155" i="1"/>
  <c r="Q156" i="1"/>
  <c r="Q151" i="1"/>
  <c r="R151" i="1"/>
  <c r="R150" i="1"/>
  <c r="Q150" i="1"/>
  <c r="R149" i="1"/>
  <c r="Q149" i="1"/>
  <c r="AX154" i="1"/>
  <c r="AX155" i="1"/>
  <c r="AX156" i="1"/>
  <c r="AW154" i="1"/>
  <c r="AW155" i="1"/>
  <c r="AW156" i="1"/>
  <c r="AX153" i="1"/>
  <c r="AW153" i="1"/>
  <c r="AX152" i="1"/>
  <c r="AW152" i="1"/>
  <c r="AX151" i="1"/>
  <c r="AW151" i="1"/>
  <c r="AX150" i="1"/>
  <c r="AW150" i="1"/>
  <c r="AX149" i="1"/>
  <c r="AW149" i="1"/>
  <c r="AX122" i="1" l="1"/>
  <c r="AX123" i="1"/>
  <c r="AX124" i="1"/>
  <c r="AX125" i="1"/>
  <c r="AX126" i="1"/>
  <c r="AW122" i="1"/>
  <c r="AW123" i="1"/>
  <c r="AW124" i="1"/>
  <c r="AW125" i="1"/>
  <c r="AW126" i="1"/>
  <c r="AX121" i="1"/>
  <c r="AW121" i="1"/>
  <c r="AX120" i="1"/>
  <c r="AW120" i="1"/>
  <c r="AX119" i="1"/>
  <c r="AW119" i="1"/>
  <c r="AW118" i="1"/>
  <c r="AX118" i="1"/>
  <c r="AB125" i="1"/>
  <c r="AB126" i="1"/>
  <c r="AA125" i="1"/>
  <c r="AA126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87" i="1"/>
  <c r="AB86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G122" i="1"/>
  <c r="G123" i="1"/>
  <c r="G124" i="1"/>
  <c r="G125" i="1"/>
  <c r="G126" i="1"/>
  <c r="H122" i="1"/>
  <c r="H123" i="1"/>
  <c r="H124" i="1"/>
  <c r="H125" i="1"/>
  <c r="H126" i="1"/>
  <c r="H121" i="1"/>
  <c r="G121" i="1"/>
  <c r="H120" i="1"/>
  <c r="G120" i="1"/>
  <c r="G119" i="1"/>
  <c r="H119" i="1"/>
  <c r="H118" i="1"/>
  <c r="G118" i="1"/>
  <c r="AX148" i="1"/>
  <c r="AW148" i="1"/>
  <c r="AM148" i="1"/>
  <c r="AL148" i="1"/>
  <c r="AB148" i="1"/>
  <c r="AA148" i="1"/>
  <c r="R148" i="1"/>
  <c r="Q148" i="1"/>
  <c r="H148" i="1"/>
  <c r="G148" i="1"/>
  <c r="AX147" i="1"/>
  <c r="AW147" i="1"/>
  <c r="AM147" i="1"/>
  <c r="AL147" i="1"/>
  <c r="AB147" i="1"/>
  <c r="AA147" i="1"/>
  <c r="R147" i="1"/>
  <c r="Q147" i="1"/>
  <c r="H147" i="1"/>
  <c r="G147" i="1"/>
  <c r="AX146" i="1"/>
  <c r="AW146" i="1"/>
  <c r="AM146" i="1"/>
  <c r="AL146" i="1"/>
  <c r="AB146" i="1"/>
  <c r="AA146" i="1"/>
  <c r="R146" i="1"/>
  <c r="Q146" i="1"/>
  <c r="H146" i="1"/>
  <c r="G146" i="1"/>
  <c r="AX145" i="1"/>
  <c r="AW145" i="1"/>
  <c r="AM145" i="1"/>
  <c r="AL145" i="1"/>
  <c r="AB145" i="1"/>
  <c r="AA145" i="1"/>
  <c r="R145" i="1"/>
  <c r="Q145" i="1"/>
  <c r="H145" i="1"/>
  <c r="G145" i="1"/>
  <c r="AX144" i="1"/>
  <c r="AW144" i="1"/>
  <c r="AM144" i="1"/>
  <c r="AL144" i="1"/>
  <c r="AB144" i="1"/>
  <c r="AA144" i="1"/>
  <c r="R144" i="1"/>
  <c r="Q144" i="1"/>
  <c r="H144" i="1"/>
  <c r="G144" i="1"/>
  <c r="AX143" i="1"/>
  <c r="AW143" i="1"/>
  <c r="AM143" i="1"/>
  <c r="AL143" i="1"/>
  <c r="AB143" i="1"/>
  <c r="AA143" i="1"/>
  <c r="R143" i="1"/>
  <c r="Q143" i="1"/>
  <c r="H143" i="1"/>
  <c r="G143" i="1"/>
  <c r="AX142" i="1"/>
  <c r="AW142" i="1"/>
  <c r="AM142" i="1"/>
  <c r="AL142" i="1"/>
  <c r="AB142" i="1"/>
  <c r="AA142" i="1"/>
  <c r="R142" i="1"/>
  <c r="Q142" i="1"/>
  <c r="H142" i="1"/>
  <c r="G142" i="1"/>
  <c r="AX141" i="1"/>
  <c r="AW141" i="1"/>
  <c r="AM141" i="1"/>
  <c r="AL141" i="1"/>
  <c r="AB141" i="1"/>
  <c r="AA141" i="1"/>
  <c r="R141" i="1"/>
  <c r="Q141" i="1"/>
  <c r="H141" i="1"/>
  <c r="G141" i="1"/>
  <c r="AX140" i="1"/>
  <c r="AW140" i="1"/>
  <c r="AM140" i="1"/>
  <c r="AL140" i="1"/>
  <c r="AB140" i="1"/>
  <c r="AA140" i="1"/>
  <c r="R140" i="1"/>
  <c r="Q140" i="1"/>
  <c r="H140" i="1"/>
  <c r="G140" i="1"/>
  <c r="AX139" i="1"/>
  <c r="AW139" i="1"/>
  <c r="AM139" i="1"/>
  <c r="AL139" i="1"/>
  <c r="AB139" i="1"/>
  <c r="AA139" i="1"/>
  <c r="R139" i="1"/>
  <c r="Q139" i="1"/>
  <c r="H139" i="1"/>
  <c r="G139" i="1"/>
  <c r="AX138" i="1"/>
  <c r="AW138" i="1"/>
  <c r="AM138" i="1"/>
  <c r="AL138" i="1"/>
  <c r="AB138" i="1"/>
  <c r="AA138" i="1"/>
  <c r="R138" i="1"/>
  <c r="Q138" i="1"/>
  <c r="H138" i="1"/>
  <c r="G138" i="1"/>
  <c r="AX137" i="1"/>
  <c r="AW137" i="1"/>
  <c r="AM137" i="1"/>
  <c r="AL137" i="1"/>
  <c r="AB137" i="1"/>
  <c r="AA137" i="1"/>
  <c r="R137" i="1"/>
  <c r="Q137" i="1"/>
  <c r="H137" i="1"/>
  <c r="G137" i="1"/>
  <c r="AX136" i="1"/>
  <c r="AW136" i="1"/>
  <c r="AM136" i="1"/>
  <c r="AL136" i="1"/>
  <c r="AB136" i="1"/>
  <c r="AA136" i="1"/>
  <c r="R136" i="1"/>
  <c r="Q136" i="1"/>
  <c r="H136" i="1"/>
  <c r="G136" i="1"/>
  <c r="AM115" i="1"/>
  <c r="AM116" i="1"/>
  <c r="AM117" i="1"/>
  <c r="AM127" i="1"/>
  <c r="AM128" i="1"/>
  <c r="AM129" i="1"/>
  <c r="AM130" i="1"/>
  <c r="AM131" i="1"/>
  <c r="AM132" i="1"/>
  <c r="AL115" i="1"/>
  <c r="AL116" i="1"/>
  <c r="AL117" i="1"/>
  <c r="AL127" i="1"/>
  <c r="AL128" i="1"/>
  <c r="AL129" i="1"/>
  <c r="AL130" i="1"/>
  <c r="AL131" i="1"/>
  <c r="AL132" i="1"/>
  <c r="AX128" i="1" l="1"/>
  <c r="AX129" i="1"/>
  <c r="AX130" i="1"/>
  <c r="AX131" i="1"/>
  <c r="AX132" i="1"/>
  <c r="AW128" i="1"/>
  <c r="AW129" i="1"/>
  <c r="AW130" i="1"/>
  <c r="AW131" i="1"/>
  <c r="AW132" i="1"/>
  <c r="AX127" i="1"/>
  <c r="AW127" i="1"/>
  <c r="AX117" i="1"/>
  <c r="AW117" i="1"/>
  <c r="AX116" i="1"/>
  <c r="AW116" i="1"/>
  <c r="AX115" i="1"/>
  <c r="AW115" i="1"/>
  <c r="AB128" i="1"/>
  <c r="AB129" i="1"/>
  <c r="AB130" i="1"/>
  <c r="AB131" i="1"/>
  <c r="AB132" i="1"/>
  <c r="AA128" i="1"/>
  <c r="AA129" i="1"/>
  <c r="AA130" i="1"/>
  <c r="AA131" i="1"/>
  <c r="AA132" i="1"/>
  <c r="AA127" i="1"/>
  <c r="AB127" i="1"/>
  <c r="AB117" i="1"/>
  <c r="AA117" i="1"/>
  <c r="AB116" i="1"/>
  <c r="AA116" i="1"/>
  <c r="AB115" i="1"/>
  <c r="AA115" i="1"/>
  <c r="H127" i="1"/>
  <c r="H128" i="1"/>
  <c r="H129" i="1"/>
  <c r="H130" i="1"/>
  <c r="H131" i="1"/>
  <c r="H132" i="1"/>
  <c r="G127" i="1"/>
  <c r="G128" i="1"/>
  <c r="G129" i="1"/>
  <c r="G130" i="1"/>
  <c r="G131" i="1"/>
  <c r="G132" i="1"/>
  <c r="H117" i="1"/>
  <c r="G117" i="1"/>
  <c r="H116" i="1"/>
  <c r="G116" i="1"/>
  <c r="H115" i="1"/>
  <c r="G115" i="1"/>
  <c r="R132" i="1"/>
  <c r="Q132" i="1"/>
  <c r="R131" i="1"/>
  <c r="Q131" i="1"/>
  <c r="R130" i="1"/>
  <c r="Q130" i="1"/>
  <c r="R129" i="1"/>
  <c r="Q129" i="1"/>
  <c r="R128" i="1"/>
  <c r="R127" i="1"/>
  <c r="Q128" i="1"/>
  <c r="Q127" i="1"/>
  <c r="R117" i="1"/>
  <c r="Q117" i="1"/>
  <c r="R116" i="1"/>
  <c r="Q116" i="1"/>
  <c r="R115" i="1"/>
  <c r="Q115" i="1"/>
  <c r="AX114" i="1" l="1"/>
  <c r="AW114" i="1"/>
  <c r="AX113" i="1"/>
  <c r="AW113" i="1"/>
  <c r="AX112" i="1"/>
  <c r="AW112" i="1"/>
  <c r="AX111" i="1"/>
  <c r="AW111" i="1"/>
  <c r="AX110" i="1"/>
  <c r="AW110" i="1"/>
  <c r="AX109" i="1"/>
  <c r="AW109" i="1"/>
  <c r="AX108" i="1"/>
  <c r="AW108" i="1"/>
  <c r="AX107" i="1"/>
  <c r="AW107" i="1"/>
  <c r="AX106" i="1"/>
  <c r="AW106" i="1"/>
  <c r="AX105" i="1"/>
  <c r="AW105" i="1"/>
  <c r="AX104" i="1"/>
  <c r="AW104" i="1"/>
  <c r="AX103" i="1"/>
  <c r="AW103" i="1"/>
  <c r="AM114" i="1"/>
  <c r="AL114" i="1"/>
  <c r="AM113" i="1"/>
  <c r="AL113" i="1"/>
  <c r="AM112" i="1"/>
  <c r="AL112" i="1"/>
  <c r="AM111" i="1"/>
  <c r="AL111" i="1"/>
  <c r="AM110" i="1"/>
  <c r="AL110" i="1"/>
  <c r="AM109" i="1"/>
  <c r="AL109" i="1"/>
  <c r="AM108" i="1"/>
  <c r="AL108" i="1"/>
  <c r="AM107" i="1"/>
  <c r="AL107" i="1"/>
  <c r="AM106" i="1"/>
  <c r="AL106" i="1"/>
  <c r="AM105" i="1"/>
  <c r="AL105" i="1"/>
  <c r="AM104" i="1"/>
  <c r="AL104" i="1"/>
  <c r="AM103" i="1"/>
  <c r="AL103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AX57" i="1" l="1"/>
  <c r="AW57" i="1"/>
  <c r="AX56" i="1"/>
  <c r="AW56" i="1"/>
  <c r="AX55" i="1"/>
  <c r="AW55" i="1"/>
  <c r="AX54" i="1"/>
  <c r="AW54" i="1"/>
  <c r="AX53" i="1"/>
  <c r="AW53" i="1"/>
  <c r="AX52" i="1"/>
  <c r="AW52" i="1"/>
  <c r="AX51" i="1"/>
  <c r="AW51" i="1"/>
  <c r="AX50" i="1"/>
  <c r="AW50" i="1"/>
  <c r="AX49" i="1"/>
  <c r="AW49" i="1"/>
  <c r="AX48" i="1"/>
  <c r="AW48" i="1"/>
  <c r="AX47" i="1"/>
  <c r="AW47" i="1"/>
  <c r="AX46" i="1"/>
  <c r="AW46" i="1"/>
  <c r="AX45" i="1"/>
  <c r="AW45" i="1"/>
  <c r="AX44" i="1"/>
  <c r="AW44" i="1"/>
  <c r="AX43" i="1"/>
  <c r="AW43" i="1"/>
  <c r="AX42" i="1"/>
  <c r="AW42" i="1"/>
  <c r="AX41" i="1"/>
  <c r="AW41" i="1"/>
  <c r="AX40" i="1"/>
  <c r="AW40" i="1"/>
  <c r="AX39" i="1"/>
  <c r="AW39" i="1"/>
  <c r="AX38" i="1"/>
  <c r="AW38" i="1"/>
  <c r="AX37" i="1"/>
  <c r="AW37" i="1"/>
  <c r="AX36" i="1"/>
  <c r="AW36" i="1"/>
  <c r="AX35" i="1"/>
  <c r="AW35" i="1"/>
  <c r="AX34" i="1"/>
  <c r="AW34" i="1"/>
  <c r="AX33" i="1"/>
  <c r="AW33" i="1"/>
  <c r="AX32" i="1"/>
  <c r="AW32" i="1"/>
  <c r="AX31" i="1"/>
  <c r="AW31" i="1"/>
  <c r="AX30" i="1"/>
  <c r="AW30" i="1"/>
  <c r="AX29" i="1"/>
  <c r="AW29" i="1"/>
  <c r="AX28" i="1"/>
  <c r="AW28" i="1"/>
  <c r="AM57" i="1"/>
  <c r="AL57" i="1"/>
  <c r="AM56" i="1"/>
  <c r="AL56" i="1"/>
  <c r="AM55" i="1"/>
  <c r="AL55" i="1"/>
  <c r="AM54" i="1"/>
  <c r="AL54" i="1"/>
  <c r="AM53" i="1"/>
  <c r="AL53" i="1"/>
  <c r="AM52" i="1"/>
  <c r="AL52" i="1"/>
  <c r="AM51" i="1"/>
  <c r="AL51" i="1"/>
  <c r="AM50" i="1"/>
  <c r="AL50" i="1"/>
  <c r="AM49" i="1"/>
  <c r="AL49" i="1"/>
  <c r="AM48" i="1"/>
  <c r="AL48" i="1"/>
  <c r="AM47" i="1"/>
  <c r="AL47" i="1"/>
  <c r="AM46" i="1"/>
  <c r="AL46" i="1"/>
  <c r="AM45" i="1"/>
  <c r="AL45" i="1"/>
  <c r="AM44" i="1"/>
  <c r="AL44" i="1"/>
  <c r="AM43" i="1"/>
  <c r="AL43" i="1"/>
  <c r="AM42" i="1"/>
  <c r="AL42" i="1"/>
  <c r="AM41" i="1"/>
  <c r="AL41" i="1"/>
  <c r="AM40" i="1"/>
  <c r="AL40" i="1"/>
  <c r="AM39" i="1"/>
  <c r="AL39" i="1"/>
  <c r="AM38" i="1"/>
  <c r="AL38" i="1"/>
  <c r="AM37" i="1"/>
  <c r="AL37" i="1"/>
  <c r="AM36" i="1"/>
  <c r="AL36" i="1"/>
  <c r="AM35" i="1"/>
  <c r="AL35" i="1"/>
  <c r="AM34" i="1"/>
  <c r="AL34" i="1"/>
  <c r="AM33" i="1"/>
  <c r="AL33" i="1"/>
  <c r="AM32" i="1"/>
  <c r="AL32" i="1"/>
  <c r="AM31" i="1"/>
  <c r="AL31" i="1"/>
  <c r="AM30" i="1"/>
  <c r="AL30" i="1"/>
  <c r="AM29" i="1"/>
  <c r="AL29" i="1"/>
  <c r="AM28" i="1"/>
  <c r="AL2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R30" i="1"/>
  <c r="Q30" i="1"/>
  <c r="R29" i="1"/>
  <c r="Q29" i="1"/>
  <c r="R28" i="1"/>
  <c r="Q28" i="1"/>
  <c r="H30" i="1"/>
  <c r="G30" i="1"/>
  <c r="H29" i="1"/>
  <c r="G29" i="1"/>
  <c r="H28" i="1"/>
  <c r="G2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L70" i="1"/>
  <c r="AL71" i="1"/>
  <c r="AL72" i="1"/>
  <c r="AL73" i="1"/>
  <c r="AL74" i="1"/>
  <c r="AL75" i="1"/>
  <c r="AL76" i="1"/>
  <c r="AL77" i="1"/>
  <c r="AM70" i="1"/>
  <c r="AM71" i="1"/>
  <c r="AM72" i="1"/>
  <c r="AM73" i="1"/>
  <c r="AM74" i="1"/>
  <c r="AM75" i="1"/>
  <c r="AM76" i="1"/>
  <c r="AM77" i="1"/>
  <c r="AX70" i="1"/>
  <c r="AX71" i="1"/>
  <c r="AX72" i="1"/>
  <c r="AX73" i="1"/>
  <c r="AX74" i="1"/>
  <c r="AX75" i="1"/>
  <c r="AX76" i="1"/>
  <c r="AX77" i="1"/>
  <c r="AW70" i="1"/>
  <c r="AW71" i="1"/>
  <c r="AW72" i="1"/>
  <c r="AW73" i="1"/>
  <c r="AW74" i="1"/>
  <c r="AW75" i="1"/>
  <c r="AW76" i="1"/>
  <c r="AW77" i="1"/>
  <c r="R72" i="1"/>
  <c r="R73" i="1"/>
  <c r="R74" i="1"/>
  <c r="R75" i="1"/>
  <c r="R76" i="1"/>
  <c r="R77" i="1"/>
  <c r="Q71" i="1"/>
  <c r="Q72" i="1"/>
  <c r="Q73" i="1"/>
  <c r="Q74" i="1"/>
  <c r="Q75" i="1"/>
  <c r="Q76" i="1"/>
  <c r="Q77" i="1"/>
  <c r="R71" i="1"/>
  <c r="R70" i="1"/>
  <c r="Q70" i="1"/>
  <c r="AX27" i="1"/>
  <c r="AW27" i="1"/>
  <c r="AX26" i="1"/>
  <c r="AW26" i="1"/>
  <c r="AX25" i="1"/>
  <c r="AW25" i="1"/>
  <c r="AX24" i="1"/>
  <c r="AW24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M27" i="1"/>
  <c r="AL27" i="1"/>
  <c r="AM26" i="1"/>
  <c r="AL26" i="1"/>
  <c r="AM25" i="1"/>
  <c r="AL25" i="1"/>
  <c r="AM24" i="1"/>
  <c r="AL24" i="1"/>
  <c r="AM23" i="1"/>
  <c r="AL23" i="1"/>
  <c r="AM22" i="1"/>
  <c r="AL22" i="1"/>
  <c r="AM21" i="1"/>
  <c r="AL21" i="1"/>
  <c r="AM20" i="1"/>
  <c r="AL20" i="1"/>
  <c r="AM19" i="1"/>
  <c r="AL19" i="1"/>
  <c r="AM18" i="1"/>
  <c r="AL1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AX69" i="1"/>
  <c r="AW69" i="1"/>
  <c r="AX68" i="1"/>
  <c r="AW68" i="1"/>
  <c r="AX67" i="1"/>
  <c r="AW67" i="1"/>
  <c r="AX66" i="1"/>
  <c r="AW66" i="1"/>
  <c r="AX65" i="1"/>
  <c r="AW65" i="1"/>
  <c r="AX64" i="1"/>
  <c r="AW64" i="1"/>
  <c r="AX63" i="1"/>
  <c r="AW63" i="1"/>
  <c r="AX62" i="1"/>
  <c r="AW62" i="1"/>
  <c r="AM69" i="1"/>
  <c r="AL69" i="1"/>
  <c r="AM68" i="1"/>
  <c r="AL68" i="1"/>
  <c r="AM67" i="1"/>
  <c r="AL67" i="1"/>
  <c r="AM66" i="1"/>
  <c r="AL66" i="1"/>
  <c r="AM65" i="1"/>
  <c r="AL65" i="1"/>
  <c r="AM64" i="1"/>
  <c r="AL64" i="1"/>
  <c r="AM63" i="1"/>
  <c r="AL63" i="1"/>
  <c r="AM62" i="1"/>
  <c r="AL62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H62" i="1"/>
  <c r="H63" i="1"/>
  <c r="H64" i="1"/>
  <c r="H65" i="1"/>
  <c r="H66" i="1"/>
  <c r="H67" i="1"/>
  <c r="H68" i="1"/>
  <c r="H69" i="1"/>
  <c r="G62" i="1"/>
  <c r="G63" i="1"/>
  <c r="G64" i="1"/>
  <c r="G65" i="1"/>
  <c r="G66" i="1"/>
  <c r="G67" i="1"/>
  <c r="G68" i="1"/>
  <c r="G69" i="1"/>
  <c r="AX90" i="1" l="1"/>
  <c r="AW90" i="1"/>
  <c r="AX89" i="1"/>
  <c r="AW89" i="1"/>
  <c r="AX88" i="1"/>
  <c r="AW88" i="1"/>
  <c r="AM90" i="1"/>
  <c r="AL90" i="1"/>
  <c r="AM89" i="1"/>
  <c r="AL89" i="1"/>
  <c r="AM88" i="1"/>
  <c r="AL88" i="1"/>
  <c r="AB90" i="1"/>
  <c r="AA90" i="1"/>
  <c r="AB89" i="1"/>
  <c r="AA89" i="1"/>
  <c r="AB88" i="1"/>
  <c r="AA88" i="1"/>
  <c r="R90" i="1"/>
  <c r="Q90" i="1"/>
  <c r="R89" i="1"/>
  <c r="Q89" i="1"/>
  <c r="R88" i="1"/>
  <c r="Q88" i="1"/>
  <c r="H90" i="1"/>
  <c r="G90" i="1"/>
  <c r="H89" i="1"/>
  <c r="G89" i="1"/>
  <c r="H88" i="1"/>
  <c r="G88" i="1"/>
  <c r="AX135" i="1" l="1"/>
  <c r="AW135" i="1"/>
  <c r="AX134" i="1"/>
  <c r="AW134" i="1"/>
  <c r="AX133" i="1"/>
  <c r="AW133" i="1"/>
  <c r="AX102" i="1"/>
  <c r="AW102" i="1"/>
  <c r="AX101" i="1"/>
  <c r="AW101" i="1"/>
  <c r="AX100" i="1"/>
  <c r="AW100" i="1"/>
  <c r="AX99" i="1"/>
  <c r="AW99" i="1"/>
  <c r="AX98" i="1"/>
  <c r="AW98" i="1"/>
  <c r="AX97" i="1"/>
  <c r="AW97" i="1"/>
  <c r="AX96" i="1"/>
  <c r="AW96" i="1"/>
  <c r="AX95" i="1"/>
  <c r="AW95" i="1"/>
  <c r="AX94" i="1"/>
  <c r="AW94" i="1"/>
  <c r="AX93" i="1"/>
  <c r="AW93" i="1"/>
  <c r="AX92" i="1"/>
  <c r="AW92" i="1"/>
  <c r="AX91" i="1"/>
  <c r="AW91" i="1"/>
  <c r="AM135" i="1"/>
  <c r="AL135" i="1"/>
  <c r="AM134" i="1"/>
  <c r="AL134" i="1"/>
  <c r="AM133" i="1"/>
  <c r="AL133" i="1"/>
  <c r="AM102" i="1"/>
  <c r="AL102" i="1"/>
  <c r="AM101" i="1"/>
  <c r="AL101" i="1"/>
  <c r="AM100" i="1"/>
  <c r="AL100" i="1"/>
  <c r="AM99" i="1"/>
  <c r="AL99" i="1"/>
  <c r="AM98" i="1"/>
  <c r="AL98" i="1"/>
  <c r="AM97" i="1"/>
  <c r="AL97" i="1"/>
  <c r="AM96" i="1"/>
  <c r="AL96" i="1"/>
  <c r="AM95" i="1"/>
  <c r="AL95" i="1"/>
  <c r="AM94" i="1"/>
  <c r="AL94" i="1"/>
  <c r="AM93" i="1"/>
  <c r="AL93" i="1"/>
  <c r="AM92" i="1"/>
  <c r="AL92" i="1"/>
  <c r="AM91" i="1"/>
  <c r="AL91" i="1"/>
  <c r="AB135" i="1"/>
  <c r="AA135" i="1"/>
  <c r="AB134" i="1"/>
  <c r="AA134" i="1"/>
  <c r="AB133" i="1"/>
  <c r="AA13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R135" i="1"/>
  <c r="Q135" i="1"/>
  <c r="R134" i="1"/>
  <c r="Q134" i="1"/>
  <c r="R133" i="1"/>
  <c r="Q13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H135" i="1" l="1"/>
  <c r="G135" i="1"/>
  <c r="H134" i="1"/>
  <c r="G134" i="1"/>
  <c r="H133" i="1"/>
  <c r="G13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AX85" i="1" l="1"/>
  <c r="AW85" i="1"/>
  <c r="AX84" i="1"/>
  <c r="AW84" i="1"/>
  <c r="AX83" i="1"/>
  <c r="AW83" i="1"/>
  <c r="AX82" i="1"/>
  <c r="AW82" i="1"/>
  <c r="AX81" i="1"/>
  <c r="AW81" i="1"/>
  <c r="AX80" i="1"/>
  <c r="AW80" i="1"/>
  <c r="AX79" i="1"/>
  <c r="AW79" i="1"/>
  <c r="AX78" i="1"/>
  <c r="AW78" i="1"/>
  <c r="AX61" i="1"/>
  <c r="AW61" i="1"/>
  <c r="AX60" i="1"/>
  <c r="AW60" i="1"/>
  <c r="AX59" i="1"/>
  <c r="AW59" i="1"/>
  <c r="AX58" i="1"/>
  <c r="AW58" i="1"/>
  <c r="AX13" i="1"/>
  <c r="AW13" i="1"/>
  <c r="AX12" i="1"/>
  <c r="AW12" i="1"/>
  <c r="AX11" i="1"/>
  <c r="AW11" i="1"/>
  <c r="AX10" i="1"/>
  <c r="AW10" i="1"/>
  <c r="AX9" i="1"/>
  <c r="AW9" i="1"/>
  <c r="AX8" i="1"/>
  <c r="AW8" i="1"/>
  <c r="AX7" i="1"/>
  <c r="AW7" i="1"/>
  <c r="AX6" i="1"/>
  <c r="AW6" i="1"/>
  <c r="AX5" i="1"/>
  <c r="AW5" i="1"/>
  <c r="AX4" i="1"/>
  <c r="AW4" i="1"/>
  <c r="AX3" i="1"/>
  <c r="AW3" i="1"/>
  <c r="AX2" i="1"/>
  <c r="AW2" i="1"/>
  <c r="AW193" i="1" s="1"/>
  <c r="AX193" i="1" l="1"/>
  <c r="AM13" i="1"/>
  <c r="AL13" i="1"/>
  <c r="H13" i="1"/>
  <c r="G13" i="1"/>
  <c r="R13" i="1"/>
  <c r="Q13" i="1"/>
  <c r="AM85" i="1"/>
  <c r="AL85" i="1"/>
  <c r="AM84" i="1"/>
  <c r="AL84" i="1"/>
  <c r="AM83" i="1"/>
  <c r="AL83" i="1"/>
  <c r="AM82" i="1"/>
  <c r="AL82" i="1"/>
  <c r="AM81" i="1"/>
  <c r="AL81" i="1"/>
  <c r="AM80" i="1"/>
  <c r="AL80" i="1"/>
  <c r="AM79" i="1"/>
  <c r="AL79" i="1"/>
  <c r="AM78" i="1"/>
  <c r="AL78" i="1"/>
  <c r="AM61" i="1"/>
  <c r="AL61" i="1"/>
  <c r="AM60" i="1"/>
  <c r="AL60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61" i="1"/>
  <c r="Q61" i="1"/>
  <c r="R60" i="1"/>
  <c r="Q60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61" i="1"/>
  <c r="G61" i="1"/>
  <c r="H60" i="1"/>
  <c r="G60" i="1"/>
  <c r="Q58" i="1"/>
  <c r="R58" i="1"/>
  <c r="Q59" i="1"/>
  <c r="R59" i="1"/>
  <c r="AB13" i="1"/>
  <c r="AA13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61" i="1"/>
  <c r="AA61" i="1"/>
  <c r="AB60" i="1"/>
  <c r="AA60" i="1"/>
  <c r="AM59" i="1"/>
  <c r="AL59" i="1"/>
  <c r="AM58" i="1"/>
  <c r="AL58" i="1"/>
  <c r="AM12" i="1"/>
  <c r="AL12" i="1"/>
  <c r="AM11" i="1"/>
  <c r="AL11" i="1"/>
  <c r="AM10" i="1"/>
  <c r="AL10" i="1"/>
  <c r="AM9" i="1"/>
  <c r="AL9" i="1"/>
  <c r="AM8" i="1"/>
  <c r="AL8" i="1"/>
  <c r="AM7" i="1"/>
  <c r="AL7" i="1"/>
  <c r="AM6" i="1"/>
  <c r="AL6" i="1"/>
  <c r="AM5" i="1"/>
  <c r="AL5" i="1"/>
  <c r="AM4" i="1"/>
  <c r="AL4" i="1"/>
  <c r="AM3" i="1"/>
  <c r="AL3" i="1"/>
  <c r="AM2" i="1"/>
  <c r="AL2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AB59" i="1"/>
  <c r="AA59" i="1"/>
  <c r="AB58" i="1"/>
  <c r="AA58" i="1"/>
  <c r="AB5" i="1"/>
  <c r="AA5" i="1"/>
  <c r="AB4" i="1"/>
  <c r="AA4" i="1"/>
  <c r="AB3" i="1"/>
  <c r="AA3" i="1"/>
  <c r="AB2" i="1"/>
  <c r="AB193" i="1" s="1"/>
  <c r="AA2" i="1"/>
  <c r="R3" i="1"/>
  <c r="R4" i="1"/>
  <c r="R5" i="1"/>
  <c r="Q3" i="1"/>
  <c r="Q4" i="1"/>
  <c r="Q5" i="1"/>
  <c r="Q2" i="1"/>
  <c r="R2" i="1"/>
  <c r="H3" i="1"/>
  <c r="H4" i="1"/>
  <c r="H5" i="1"/>
  <c r="H58" i="1"/>
  <c r="H59" i="1"/>
  <c r="G3" i="1"/>
  <c r="G4" i="1"/>
  <c r="G5" i="1"/>
  <c r="G58" i="1"/>
  <c r="G59" i="1"/>
  <c r="H2" i="1"/>
  <c r="G2" i="1"/>
  <c r="R193" i="1" l="1"/>
  <c r="H193" i="1"/>
  <c r="G193" i="1"/>
  <c r="AA193" i="1"/>
  <c r="Q193" i="1"/>
</calcChain>
</file>

<file path=xl/sharedStrings.xml><?xml version="1.0" encoding="utf-8"?>
<sst xmlns="http://schemas.openxmlformats.org/spreadsheetml/2006/main" count="738" uniqueCount="130">
  <si>
    <t>yosef</t>
  </si>
  <si>
    <t>muhamad</t>
  </si>
  <si>
    <t>yosef2</t>
  </si>
  <si>
    <t>muhamad2</t>
  </si>
  <si>
    <t>muhamad-yosef</t>
  </si>
  <si>
    <t>Paper</t>
  </si>
  <si>
    <t>Name</t>
  </si>
  <si>
    <t>GT BR</t>
  </si>
  <si>
    <t>BR</t>
  </si>
  <si>
    <t>GT HR</t>
  </si>
  <si>
    <t>HR</t>
  </si>
  <si>
    <t>MAE BR</t>
  </si>
  <si>
    <t>MAE HR</t>
  </si>
  <si>
    <t>FMCW_Millimeter</t>
  </si>
  <si>
    <t>Vital-sign</t>
  </si>
  <si>
    <t>christian</t>
  </si>
  <si>
    <t>christian2</t>
  </si>
  <si>
    <t>christian3</t>
  </si>
  <si>
    <t>christian4</t>
  </si>
  <si>
    <t>christian5</t>
  </si>
  <si>
    <t>christian6</t>
  </si>
  <si>
    <t>christian7</t>
  </si>
  <si>
    <t>Detection_of</t>
  </si>
  <si>
    <t>BR (no BR)</t>
  </si>
  <si>
    <t>A high</t>
  </si>
  <si>
    <t>muhamad-yosef2</t>
  </si>
  <si>
    <t>yosef-muhamad</t>
  </si>
  <si>
    <t>muhamad-x-x-yosef</t>
  </si>
  <si>
    <t>yosef-x-eleonora</t>
  </si>
  <si>
    <t>x-yosef-x-eleonora</t>
  </si>
  <si>
    <t>x-eleonora</t>
  </si>
  <si>
    <t>Remote Monitoring</t>
  </si>
  <si>
    <t>yosef-muhamad-vasile</t>
  </si>
  <si>
    <t>x-vasile-yosef-muhamad</t>
  </si>
  <si>
    <t>yosef-x-muhamad-vasile</t>
  </si>
  <si>
    <t>muhamad-vasile-x-yosef</t>
  </si>
  <si>
    <t>christian-muhamad-yosef-vasile</t>
  </si>
  <si>
    <t>christian-vasile-muhamad-yosef</t>
  </si>
  <si>
    <t>christian-daniele-muhamad-yosef</t>
  </si>
  <si>
    <t>christian-yosef-muhamad-daniele</t>
  </si>
  <si>
    <t>christian-x-muhamad-yosef</t>
  </si>
  <si>
    <t xml:space="preserve">BR </t>
  </si>
  <si>
    <t>muhamad-yosef3</t>
  </si>
  <si>
    <t>muhamad-yosef4</t>
  </si>
  <si>
    <t>muhamad-yosef5</t>
  </si>
  <si>
    <t>muhamad-yosef6</t>
  </si>
  <si>
    <t>christian-x-x-x</t>
  </si>
  <si>
    <t>christian-x-x-x2</t>
  </si>
  <si>
    <t>christian-x-x-x3</t>
  </si>
  <si>
    <t>christian-x-x-x4</t>
  </si>
  <si>
    <t>christian-x-x-x5</t>
  </si>
  <si>
    <t>christian-x-x-x6</t>
  </si>
  <si>
    <t>christian-x-x-x7</t>
  </si>
  <si>
    <t>christian-x-x-x8</t>
  </si>
  <si>
    <t>christian-x-x-x9</t>
  </si>
  <si>
    <t>christian-x-x-x10</t>
  </si>
  <si>
    <t>muhamad-yosef7</t>
  </si>
  <si>
    <t>muhamad-yosef8</t>
  </si>
  <si>
    <t>muhamad-yosef9</t>
  </si>
  <si>
    <t>muhamad-yosef10</t>
  </si>
  <si>
    <t>x-christian-x-x</t>
  </si>
  <si>
    <t>x-christian-x-x2</t>
  </si>
  <si>
    <t>x-christian-x-x3</t>
  </si>
  <si>
    <t>x-christian-x-x4</t>
  </si>
  <si>
    <t>x-christian-x-x5</t>
  </si>
  <si>
    <t>x-christian-x-x6</t>
  </si>
  <si>
    <t>x-christian-x-x7</t>
  </si>
  <si>
    <t>x-christian-x-x8</t>
  </si>
  <si>
    <t>x-christian-x-x9</t>
  </si>
  <si>
    <t>x-christian-x-x10</t>
  </si>
  <si>
    <t>x-x-christian-x</t>
  </si>
  <si>
    <t>x-x-christian-x2</t>
  </si>
  <si>
    <t>x-x-christian-x3</t>
  </si>
  <si>
    <t>x-x-christian-x4</t>
  </si>
  <si>
    <t>x-x-christian-x5</t>
  </si>
  <si>
    <t>x-x-christian-x6</t>
  </si>
  <si>
    <t>x-x-christian-x7</t>
  </si>
  <si>
    <t>x-x-christian-x8</t>
  </si>
  <si>
    <t>x-x-christian-x9</t>
  </si>
  <si>
    <t>x-x-christian-x10</t>
  </si>
  <si>
    <t>x-x-x-christian</t>
  </si>
  <si>
    <t>x-x-x-christian2</t>
  </si>
  <si>
    <t>x-x-x-christian3</t>
  </si>
  <si>
    <t>x-x-x-christian4</t>
  </si>
  <si>
    <t>x-x-x-christian5</t>
  </si>
  <si>
    <t>x-x-x-christian6</t>
  </si>
  <si>
    <t>x-x-x-christian7</t>
  </si>
  <si>
    <t>x-x-x-christian8</t>
  </si>
  <si>
    <t>x-x-x-christian9</t>
  </si>
  <si>
    <t>x-x-x-christian10</t>
  </si>
  <si>
    <t>yosef-muhamad-michael</t>
  </si>
  <si>
    <t>yosef-muhamad-michael2</t>
  </si>
  <si>
    <t>yosef-muhamad-michael3</t>
  </si>
  <si>
    <t>yosef-muhamad-michael4</t>
  </si>
  <si>
    <t>christian-yosef-muhamad</t>
  </si>
  <si>
    <t>vasile-yosef-muhamad</t>
  </si>
  <si>
    <t>vasile-yosef-muhamad2</t>
  </si>
  <si>
    <t>christian-yosef-muhamad2</t>
  </si>
  <si>
    <t>christian-yosef-muhamad3</t>
  </si>
  <si>
    <t>christian-yosef-muhamad4</t>
  </si>
  <si>
    <t>christian-miriam-elena-gianni</t>
  </si>
  <si>
    <t>christian-miriam-elena-gianni2</t>
  </si>
  <si>
    <t>christian-miriam-elena-gianni3</t>
  </si>
  <si>
    <t>christian-miriam-elena-gianni4</t>
  </si>
  <si>
    <t>christian-miriam-elena-gianni5</t>
  </si>
  <si>
    <t>christian-miriam-elena-gianni6</t>
  </si>
  <si>
    <t>christian-miriam-elena-gianni7</t>
  </si>
  <si>
    <t>christian-miriam-elena-gianni8</t>
  </si>
  <si>
    <t>christian-miriam-elena-gianni9</t>
  </si>
  <si>
    <t>christian-miriam-elena-gianni10</t>
  </si>
  <si>
    <t>christian-miriam-elena-gianni11</t>
  </si>
  <si>
    <t>christian-x-miriam</t>
  </si>
  <si>
    <t>GT HR moda</t>
  </si>
  <si>
    <t>Stima</t>
  </si>
  <si>
    <t>schiena1</t>
  </si>
  <si>
    <t>schiena2</t>
  </si>
  <si>
    <t>schiena3</t>
  </si>
  <si>
    <t>schiena4</t>
  </si>
  <si>
    <t>schiena5</t>
  </si>
  <si>
    <t>schiena6</t>
  </si>
  <si>
    <t>schiena7</t>
  </si>
  <si>
    <t>schiena8</t>
  </si>
  <si>
    <t>schiena9</t>
  </si>
  <si>
    <t>schiena10</t>
  </si>
  <si>
    <t>MAE</t>
  </si>
  <si>
    <t>manuel</t>
  </si>
  <si>
    <t>manuel2</t>
  </si>
  <si>
    <t>manuel3</t>
  </si>
  <si>
    <t>manuel4</t>
  </si>
  <si>
    <t>A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</si>
</sst>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8" xfId="0" applyFill="1" applyBorder="1"/>
    <xf numFmtId="3" fontId="0" fillId="0" borderId="9" xfId="0" applyNumberFormat="1" applyBorder="1"/>
    <xf numFmtId="0" fontId="0" fillId="3" borderId="9" xfId="0" applyFill="1" applyBorder="1"/>
    <xf numFmtId="0" fontId="0" fillId="4" borderId="10" xfId="0" applyFill="1" applyBorder="1"/>
    <xf numFmtId="0" fontId="0" fillId="4" borderId="9" xfId="0" applyFill="1" applyBorder="1"/>
    <xf numFmtId="0" fontId="0" fillId="4" borderId="13" xfId="0" applyFill="1" applyBorder="1"/>
    <xf numFmtId="0" fontId="0" fillId="4" borderId="0" xfId="0" applyFill="1"/>
    <xf numFmtId="0" fontId="0" fillId="5" borderId="13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06"/>
  <sheetViews>
    <sheetView tabSelected="1" topLeftCell="BA184" zoomScale="115" zoomScaleNormal="115" workbookViewId="0">
      <selection activeCell="BN20" sqref="BN20"/>
    </sheetView>
  </sheetViews>
  <sheetFormatPr defaultRowHeight="15" x14ac:dyDescent="0.25"/>
  <cols>
    <col min="1" max="1" width="18.7109375" customWidth="1"/>
    <col min="2" max="2" width="31.7109375" customWidth="1"/>
    <col min="3" max="3" width="11.28515625" customWidth="1"/>
    <col min="8" max="8" width="10.5703125" customWidth="1"/>
    <col min="9" max="9" width="11.28515625" customWidth="1"/>
    <col min="11" max="11" width="17.42578125" customWidth="1"/>
    <col min="12" max="12" width="31.140625" customWidth="1"/>
    <col min="13" max="13" width="11.85546875" customWidth="1"/>
    <col min="18" max="18" width="8.7109375" customWidth="1"/>
    <col min="21" max="21" width="16" customWidth="1"/>
    <col min="22" max="22" width="31.28515625" customWidth="1"/>
    <col min="23" max="23" width="12" customWidth="1"/>
    <col min="24" max="24" width="9" customWidth="1"/>
    <col min="28" max="28" width="9.140625" customWidth="1"/>
    <col min="32" max="32" width="8" customWidth="1"/>
    <col min="33" max="33" width="30" customWidth="1"/>
    <col min="35" max="35" width="10.28515625" customWidth="1"/>
    <col min="43" max="43" width="18.5703125" customWidth="1"/>
    <col min="44" max="44" width="31.5703125" customWidth="1"/>
    <col min="45" max="45" width="11.7109375" customWidth="1"/>
    <col min="46" max="46" width="8.85546875" customWidth="1"/>
    <col min="48" max="48" width="9.140625" customWidth="1"/>
    <col min="49" max="49" width="9.85546875" customWidth="1"/>
    <col min="54" max="54" width="21.42578125" customWidth="1"/>
    <col min="55" max="55" width="31.85546875" customWidth="1"/>
    <col min="56" max="56" width="12" customWidth="1"/>
  </cols>
  <sheetData>
    <row r="1" spans="1:61" x14ac:dyDescent="0.25">
      <c r="A1" s="1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K1" s="1" t="s">
        <v>5</v>
      </c>
      <c r="L1" s="15" t="s">
        <v>6</v>
      </c>
      <c r="M1" s="15" t="s">
        <v>7</v>
      </c>
      <c r="N1" s="15" t="s">
        <v>8</v>
      </c>
      <c r="O1" s="15" t="s">
        <v>9</v>
      </c>
      <c r="P1" s="15" t="s">
        <v>10</v>
      </c>
      <c r="Q1" s="15" t="s">
        <v>11</v>
      </c>
      <c r="R1" s="15" t="s">
        <v>12</v>
      </c>
      <c r="U1" s="1" t="s">
        <v>5</v>
      </c>
      <c r="V1" s="15" t="s">
        <v>6</v>
      </c>
      <c r="W1" s="15" t="s">
        <v>7</v>
      </c>
      <c r="X1" s="15" t="s">
        <v>41</v>
      </c>
      <c r="Y1" s="15" t="s">
        <v>9</v>
      </c>
      <c r="Z1" s="15" t="s">
        <v>10</v>
      </c>
      <c r="AA1" s="15" t="s">
        <v>11</v>
      </c>
      <c r="AB1" s="15" t="s">
        <v>12</v>
      </c>
      <c r="AF1" s="1" t="s">
        <v>5</v>
      </c>
      <c r="AG1" s="15" t="s">
        <v>6</v>
      </c>
      <c r="AH1" s="15" t="s">
        <v>7</v>
      </c>
      <c r="AI1" s="15" t="s">
        <v>23</v>
      </c>
      <c r="AJ1" s="15" t="s">
        <v>9</v>
      </c>
      <c r="AK1" s="15" t="s">
        <v>10</v>
      </c>
      <c r="AL1" s="15" t="s">
        <v>11</v>
      </c>
      <c r="AM1" s="15" t="s">
        <v>12</v>
      </c>
      <c r="AQ1" s="1" t="s">
        <v>5</v>
      </c>
      <c r="AR1" s="15" t="s">
        <v>6</v>
      </c>
      <c r="AS1" s="15" t="s">
        <v>7</v>
      </c>
      <c r="AT1" s="15" t="s">
        <v>8</v>
      </c>
      <c r="AU1" s="15" t="s">
        <v>9</v>
      </c>
      <c r="AV1" s="15" t="s">
        <v>10</v>
      </c>
      <c r="AW1" s="15" t="s">
        <v>11</v>
      </c>
      <c r="AX1" s="15" t="s">
        <v>12</v>
      </c>
      <c r="BB1" s="1" t="s">
        <v>5</v>
      </c>
      <c r="BC1" s="15" t="s">
        <v>6</v>
      </c>
      <c r="BD1" s="15" t="s">
        <v>7</v>
      </c>
      <c r="BE1" s="15" t="s">
        <v>8</v>
      </c>
      <c r="BF1" s="15" t="s">
        <v>9</v>
      </c>
      <c r="BG1" s="15" t="s">
        <v>10</v>
      </c>
      <c r="BH1" s="15" t="s">
        <v>11</v>
      </c>
      <c r="BI1" s="15" t="s">
        <v>12</v>
      </c>
    </row>
    <row r="2" spans="1:61" x14ac:dyDescent="0.25">
      <c r="A2" s="14" t="s">
        <v>14</v>
      </c>
      <c r="B2" s="20" t="s">
        <v>0</v>
      </c>
      <c r="C2" s="19">
        <v>17</v>
      </c>
      <c r="D2" s="19">
        <v>17</v>
      </c>
      <c r="E2" s="19">
        <v>105</v>
      </c>
      <c r="F2" s="19">
        <v>91.3</v>
      </c>
      <c r="G2" s="19">
        <f>ABS(C2-D2)</f>
        <v>0</v>
      </c>
      <c r="H2" s="18">
        <f>ABS(E2-F2)</f>
        <v>13.700000000000003</v>
      </c>
      <c r="K2" s="14" t="s">
        <v>13</v>
      </c>
      <c r="L2" s="20" t="s">
        <v>0</v>
      </c>
      <c r="M2" s="19">
        <v>17</v>
      </c>
      <c r="N2" s="19">
        <v>17.100000000000001</v>
      </c>
      <c r="O2" s="19">
        <v>105</v>
      </c>
      <c r="P2" s="19">
        <v>102.5</v>
      </c>
      <c r="Q2" s="19">
        <f>ABS(M2-N2)</f>
        <v>0.10000000000000142</v>
      </c>
      <c r="R2" s="18">
        <f>ABS(O2-P2)</f>
        <v>2.5</v>
      </c>
      <c r="U2" s="14" t="s">
        <v>22</v>
      </c>
      <c r="V2" s="20" t="s">
        <v>0</v>
      </c>
      <c r="W2" s="19">
        <v>17</v>
      </c>
      <c r="X2" s="19">
        <v>16.8</v>
      </c>
      <c r="Y2" s="19">
        <v>105</v>
      </c>
      <c r="Z2" s="19">
        <v>102.5</v>
      </c>
      <c r="AA2" s="19">
        <f>ABS(W2-X2)</f>
        <v>0.19999999999999929</v>
      </c>
      <c r="AB2" s="18">
        <f>ABS(Y2-Z2)</f>
        <v>2.5</v>
      </c>
      <c r="AF2" s="14" t="s">
        <v>24</v>
      </c>
      <c r="AG2" s="20" t="s">
        <v>0</v>
      </c>
      <c r="AH2" s="19">
        <v>17</v>
      </c>
      <c r="AI2" s="19"/>
      <c r="AJ2" s="19">
        <v>105</v>
      </c>
      <c r="AK2" s="19">
        <v>86.7</v>
      </c>
      <c r="AL2" s="19">
        <f>ABS(AH2-AI2)</f>
        <v>17</v>
      </c>
      <c r="AM2" s="18">
        <f>ABS(AJ2-AK2)</f>
        <v>18.299999999999997</v>
      </c>
      <c r="AQ2" s="14" t="s">
        <v>31</v>
      </c>
      <c r="AR2" s="20" t="s">
        <v>0</v>
      </c>
      <c r="AS2" s="19">
        <v>17</v>
      </c>
      <c r="AT2" s="19">
        <v>17</v>
      </c>
      <c r="AU2" s="19">
        <v>105</v>
      </c>
      <c r="AV2" s="19">
        <v>84.3</v>
      </c>
      <c r="AW2" s="19">
        <f>ABS(AS2-AT2)</f>
        <v>0</v>
      </c>
      <c r="AX2" s="18">
        <f>ABS(AU2-AV2)</f>
        <v>20.700000000000003</v>
      </c>
      <c r="BB2" s="14" t="s">
        <v>129</v>
      </c>
      <c r="BC2" s="20" t="s">
        <v>0</v>
      </c>
      <c r="BD2" s="19">
        <v>17</v>
      </c>
      <c r="BE2" s="19">
        <v>17</v>
      </c>
      <c r="BF2" s="19">
        <v>105</v>
      </c>
      <c r="BG2" s="19">
        <v>60.5</v>
      </c>
      <c r="BH2" s="19">
        <f>ABS(BD2-BE2)</f>
        <v>0</v>
      </c>
      <c r="BI2" s="18">
        <f>ABS(BF2-BG2)</f>
        <v>44.5</v>
      </c>
    </row>
    <row r="3" spans="1:61" x14ac:dyDescent="0.25">
      <c r="B3" s="20" t="s">
        <v>1</v>
      </c>
      <c r="C3" s="19">
        <v>12</v>
      </c>
      <c r="D3" s="19">
        <v>11</v>
      </c>
      <c r="E3" s="19">
        <v>71</v>
      </c>
      <c r="F3" s="19">
        <v>65</v>
      </c>
      <c r="G3" s="19">
        <f t="shared" ref="G3:G12" si="0">ABS(C3-D3)</f>
        <v>1</v>
      </c>
      <c r="H3" s="18">
        <f t="shared" ref="H3:H12" si="1">ABS(E3-F3)</f>
        <v>6</v>
      </c>
      <c r="L3" s="20" t="s">
        <v>1</v>
      </c>
      <c r="M3" s="19">
        <v>12</v>
      </c>
      <c r="N3" s="19">
        <v>11.8</v>
      </c>
      <c r="O3" s="19">
        <v>71</v>
      </c>
      <c r="P3" s="19">
        <v>82.5</v>
      </c>
      <c r="Q3" s="19">
        <f t="shared" ref="Q3:Q12" si="2">ABS(M3-N3)</f>
        <v>0.19999999999999929</v>
      </c>
      <c r="R3" s="18">
        <f t="shared" ref="R3:R12" si="3">ABS(O3-P3)</f>
        <v>11.5</v>
      </c>
      <c r="V3" s="20" t="s">
        <v>1</v>
      </c>
      <c r="W3" s="19">
        <v>12</v>
      </c>
      <c r="X3" s="19">
        <v>10.199999999999999</v>
      </c>
      <c r="Y3" s="19">
        <v>71</v>
      </c>
      <c r="Z3" s="19">
        <v>110.6</v>
      </c>
      <c r="AA3" s="19">
        <f t="shared" ref="AA3:AA12" si="4">ABS(W3-X3)</f>
        <v>1.8000000000000007</v>
      </c>
      <c r="AB3" s="18">
        <f t="shared" ref="AB3:AB12" si="5">ABS(Y3-Z3)</f>
        <v>39.599999999999994</v>
      </c>
      <c r="AG3" s="20" t="s">
        <v>1</v>
      </c>
      <c r="AH3" s="19">
        <v>12</v>
      </c>
      <c r="AI3" s="19"/>
      <c r="AJ3" s="19">
        <v>71</v>
      </c>
      <c r="AK3" s="19">
        <v>81</v>
      </c>
      <c r="AL3" s="19">
        <f t="shared" ref="AL3:AL12" si="6">ABS(AH3-AI3)</f>
        <v>12</v>
      </c>
      <c r="AM3" s="18">
        <f t="shared" ref="AM3:AM12" si="7">ABS(AJ3-AK3)</f>
        <v>10</v>
      </c>
      <c r="AR3" s="20" t="s">
        <v>1</v>
      </c>
      <c r="AS3" s="19">
        <v>12</v>
      </c>
      <c r="AT3" s="19">
        <v>11.3</v>
      </c>
      <c r="AU3" s="19">
        <v>71</v>
      </c>
      <c r="AV3" s="19">
        <v>89.4</v>
      </c>
      <c r="AW3" s="19">
        <f t="shared" ref="AW3:AW12" si="8">ABS(AS3-AT3)</f>
        <v>0.69999999999999929</v>
      </c>
      <c r="AX3" s="18">
        <f>ABS(AU3-AV3)</f>
        <v>18.400000000000006</v>
      </c>
      <c r="BC3" s="20" t="s">
        <v>1</v>
      </c>
      <c r="BD3" s="19">
        <v>12</v>
      </c>
      <c r="BE3" s="19">
        <v>11</v>
      </c>
      <c r="BF3" s="19">
        <v>71</v>
      </c>
      <c r="BG3" s="19">
        <v>82.6</v>
      </c>
      <c r="BH3" s="19">
        <f t="shared" ref="BH3:BH12" si="9">ABS(BD3-BE3)</f>
        <v>1</v>
      </c>
      <c r="BI3" s="18">
        <f>ABS(BF3-BG3)</f>
        <v>11.599999999999994</v>
      </c>
    </row>
    <row r="4" spans="1:61" x14ac:dyDescent="0.25">
      <c r="B4" s="20" t="s">
        <v>2</v>
      </c>
      <c r="C4" s="19">
        <v>16.5</v>
      </c>
      <c r="D4" s="19">
        <v>16</v>
      </c>
      <c r="E4" s="19">
        <v>100</v>
      </c>
      <c r="F4" s="19">
        <v>103</v>
      </c>
      <c r="G4" s="19">
        <f t="shared" si="0"/>
        <v>0.5</v>
      </c>
      <c r="H4" s="18">
        <f t="shared" si="1"/>
        <v>3</v>
      </c>
      <c r="L4" s="20" t="s">
        <v>2</v>
      </c>
      <c r="M4" s="19">
        <v>16.5</v>
      </c>
      <c r="N4" s="19">
        <v>16.7</v>
      </c>
      <c r="O4" s="19">
        <v>100</v>
      </c>
      <c r="P4" s="19">
        <v>100</v>
      </c>
      <c r="Q4" s="19">
        <f t="shared" si="2"/>
        <v>0.19999999999999929</v>
      </c>
      <c r="R4" s="18">
        <f t="shared" si="3"/>
        <v>0</v>
      </c>
      <c r="V4" s="20" t="s">
        <v>2</v>
      </c>
      <c r="W4" s="19">
        <v>16.5</v>
      </c>
      <c r="X4" s="19">
        <v>16.100000000000001</v>
      </c>
      <c r="Y4" s="19">
        <v>100</v>
      </c>
      <c r="Z4" s="19">
        <v>102.5</v>
      </c>
      <c r="AA4" s="19">
        <f t="shared" si="4"/>
        <v>0.39999999999999858</v>
      </c>
      <c r="AB4" s="18">
        <f t="shared" si="5"/>
        <v>2.5</v>
      </c>
      <c r="AG4" s="20" t="s">
        <v>2</v>
      </c>
      <c r="AH4" s="19">
        <v>16.5</v>
      </c>
      <c r="AI4" s="19"/>
      <c r="AJ4" s="19">
        <v>100</v>
      </c>
      <c r="AK4" s="19">
        <v>153.30000000000001</v>
      </c>
      <c r="AL4" s="19">
        <f t="shared" si="6"/>
        <v>16.5</v>
      </c>
      <c r="AM4" s="18">
        <f t="shared" si="7"/>
        <v>53.300000000000011</v>
      </c>
      <c r="AR4" s="20" t="s">
        <v>2</v>
      </c>
      <c r="AS4" s="19">
        <v>16.5</v>
      </c>
      <c r="AT4" s="19">
        <v>16.5</v>
      </c>
      <c r="AU4" s="19">
        <v>100</v>
      </c>
      <c r="AV4" s="19">
        <v>62.5</v>
      </c>
      <c r="AW4" s="19">
        <f t="shared" si="8"/>
        <v>0</v>
      </c>
      <c r="AX4" s="18">
        <f>ABS(AU4-AV4)</f>
        <v>37.5</v>
      </c>
      <c r="BC4" s="20" t="s">
        <v>2</v>
      </c>
      <c r="BD4" s="19">
        <v>16.5</v>
      </c>
      <c r="BE4" s="19">
        <v>16.5</v>
      </c>
      <c r="BF4" s="19">
        <v>100</v>
      </c>
      <c r="BG4" s="19">
        <v>65</v>
      </c>
      <c r="BH4" s="19">
        <f t="shared" si="9"/>
        <v>0</v>
      </c>
      <c r="BI4" s="18">
        <f>ABS(BF4-BG4)</f>
        <v>35</v>
      </c>
    </row>
    <row r="5" spans="1:61" x14ac:dyDescent="0.25">
      <c r="B5" s="20" t="s">
        <v>3</v>
      </c>
      <c r="C5" s="19">
        <v>12.5</v>
      </c>
      <c r="D5" s="19">
        <v>12</v>
      </c>
      <c r="E5" s="19">
        <v>64</v>
      </c>
      <c r="F5" s="19">
        <v>84.8</v>
      </c>
      <c r="G5" s="19">
        <f t="shared" si="0"/>
        <v>0.5</v>
      </c>
      <c r="H5" s="18">
        <f t="shared" si="1"/>
        <v>20.799999999999997</v>
      </c>
      <c r="L5" s="20" t="s">
        <v>3</v>
      </c>
      <c r="M5" s="19">
        <v>12.5</v>
      </c>
      <c r="N5" s="19">
        <v>12</v>
      </c>
      <c r="O5" s="19">
        <v>64</v>
      </c>
      <c r="P5" s="19">
        <v>66</v>
      </c>
      <c r="Q5" s="19">
        <f t="shared" si="2"/>
        <v>0.5</v>
      </c>
      <c r="R5" s="18">
        <f t="shared" si="3"/>
        <v>2</v>
      </c>
      <c r="V5" s="20" t="s">
        <v>3</v>
      </c>
      <c r="W5" s="19">
        <v>12.5</v>
      </c>
      <c r="X5" s="19">
        <v>11.7</v>
      </c>
      <c r="Y5" s="19">
        <v>64</v>
      </c>
      <c r="Z5" s="19">
        <v>99.6</v>
      </c>
      <c r="AA5" s="19">
        <f t="shared" si="4"/>
        <v>0.80000000000000071</v>
      </c>
      <c r="AB5" s="18">
        <f t="shared" si="5"/>
        <v>35.599999999999994</v>
      </c>
      <c r="AG5" s="20" t="s">
        <v>3</v>
      </c>
      <c r="AH5" s="19">
        <v>12.5</v>
      </c>
      <c r="AI5" s="19"/>
      <c r="AJ5" s="19">
        <v>64</v>
      </c>
      <c r="AK5" s="19">
        <v>64.3</v>
      </c>
      <c r="AL5" s="19">
        <f t="shared" si="6"/>
        <v>12.5</v>
      </c>
      <c r="AM5" s="18">
        <f t="shared" si="7"/>
        <v>0.29999999999999716</v>
      </c>
      <c r="AR5" s="20" t="s">
        <v>3</v>
      </c>
      <c r="AS5" s="19">
        <v>12.5</v>
      </c>
      <c r="AT5" s="19">
        <v>12</v>
      </c>
      <c r="AU5" s="19">
        <v>64</v>
      </c>
      <c r="AV5" s="19">
        <v>65.900000000000006</v>
      </c>
      <c r="AW5" s="19">
        <f t="shared" si="8"/>
        <v>0.5</v>
      </c>
      <c r="AX5" s="18">
        <f t="shared" ref="AX5:AX12" si="10">ABS(AU5-AV5)</f>
        <v>1.9000000000000057</v>
      </c>
      <c r="BC5" s="20" t="s">
        <v>3</v>
      </c>
      <c r="BD5" s="19">
        <v>12.5</v>
      </c>
      <c r="BE5" s="19">
        <v>12</v>
      </c>
      <c r="BF5" s="19">
        <v>64</v>
      </c>
      <c r="BG5" s="19">
        <v>66</v>
      </c>
      <c r="BH5" s="19">
        <f t="shared" si="9"/>
        <v>0.5</v>
      </c>
      <c r="BI5" s="18">
        <f t="shared" ref="BI5:BI12" si="11">ABS(BF5-BG5)</f>
        <v>2</v>
      </c>
    </row>
    <row r="6" spans="1:61" x14ac:dyDescent="0.25">
      <c r="B6" s="20" t="s">
        <v>15</v>
      </c>
      <c r="C6" s="19">
        <v>15</v>
      </c>
      <c r="D6" s="19">
        <v>14</v>
      </c>
      <c r="E6" s="19">
        <v>107</v>
      </c>
      <c r="F6" s="19">
        <v>104</v>
      </c>
      <c r="G6" s="19">
        <f t="shared" si="0"/>
        <v>1</v>
      </c>
      <c r="H6" s="18">
        <f t="shared" si="1"/>
        <v>3</v>
      </c>
      <c r="K6" s="11"/>
      <c r="L6" s="20" t="s">
        <v>15</v>
      </c>
      <c r="M6" s="19">
        <v>15</v>
      </c>
      <c r="N6" s="19">
        <v>13.7</v>
      </c>
      <c r="O6" s="19">
        <v>107</v>
      </c>
      <c r="P6" s="19">
        <v>105</v>
      </c>
      <c r="Q6" s="19">
        <f t="shared" si="2"/>
        <v>1.3000000000000007</v>
      </c>
      <c r="R6" s="18">
        <f t="shared" si="3"/>
        <v>2</v>
      </c>
      <c r="V6" s="20" t="s">
        <v>15</v>
      </c>
      <c r="W6" s="19">
        <v>15</v>
      </c>
      <c r="X6" s="19">
        <v>14.6</v>
      </c>
      <c r="Y6" s="19">
        <v>107</v>
      </c>
      <c r="Z6" s="19">
        <v>103.2</v>
      </c>
      <c r="AA6" s="19">
        <f t="shared" si="4"/>
        <v>0.40000000000000036</v>
      </c>
      <c r="AB6" s="18">
        <f t="shared" si="5"/>
        <v>3.7999999999999972</v>
      </c>
      <c r="AG6" s="20" t="s">
        <v>15</v>
      </c>
      <c r="AH6" s="19">
        <v>15</v>
      </c>
      <c r="AI6" s="19"/>
      <c r="AJ6" s="19">
        <v>107</v>
      </c>
      <c r="AK6" s="19">
        <v>216</v>
      </c>
      <c r="AL6" s="19">
        <f t="shared" si="6"/>
        <v>15</v>
      </c>
      <c r="AM6" s="18">
        <f t="shared" si="7"/>
        <v>109</v>
      </c>
      <c r="AR6" s="20" t="s">
        <v>15</v>
      </c>
      <c r="AS6" s="19">
        <v>15</v>
      </c>
      <c r="AT6" s="19">
        <v>14.5</v>
      </c>
      <c r="AU6" s="19">
        <v>107</v>
      </c>
      <c r="AV6" s="19">
        <v>98</v>
      </c>
      <c r="AW6" s="19">
        <f t="shared" si="8"/>
        <v>0.5</v>
      </c>
      <c r="AX6" s="18">
        <f t="shared" si="10"/>
        <v>9</v>
      </c>
      <c r="BC6" s="20" t="s">
        <v>15</v>
      </c>
      <c r="BD6" s="19">
        <v>15</v>
      </c>
      <c r="BE6" s="19">
        <v>14.5</v>
      </c>
      <c r="BF6" s="19">
        <v>107</v>
      </c>
      <c r="BG6" s="19">
        <v>105</v>
      </c>
      <c r="BH6" s="19">
        <f t="shared" si="9"/>
        <v>0.5</v>
      </c>
      <c r="BI6" s="18">
        <f t="shared" si="11"/>
        <v>2</v>
      </c>
    </row>
    <row r="7" spans="1:61" x14ac:dyDescent="0.25">
      <c r="B7" s="14" t="s">
        <v>16</v>
      </c>
      <c r="C7" s="9">
        <v>21.8</v>
      </c>
      <c r="D7" s="9">
        <v>21.7</v>
      </c>
      <c r="E7" s="9">
        <v>108</v>
      </c>
      <c r="F7" s="9">
        <v>94.3</v>
      </c>
      <c r="G7" s="9">
        <f t="shared" si="0"/>
        <v>0.10000000000000142</v>
      </c>
      <c r="H7" s="10">
        <f t="shared" si="1"/>
        <v>13.700000000000003</v>
      </c>
      <c r="K7" s="11"/>
      <c r="L7" s="14" t="s">
        <v>16</v>
      </c>
      <c r="M7" s="9">
        <v>21.8</v>
      </c>
      <c r="N7" s="9">
        <v>21.8</v>
      </c>
      <c r="O7" s="9">
        <v>108</v>
      </c>
      <c r="P7" s="9">
        <v>86.5</v>
      </c>
      <c r="Q7" s="9">
        <f t="shared" si="2"/>
        <v>0</v>
      </c>
      <c r="R7" s="10">
        <f t="shared" si="3"/>
        <v>21.5</v>
      </c>
      <c r="V7" s="14" t="s">
        <v>16</v>
      </c>
      <c r="W7" s="9">
        <v>21.8</v>
      </c>
      <c r="X7" s="9">
        <v>21.9</v>
      </c>
      <c r="Y7" s="9">
        <v>108</v>
      </c>
      <c r="Z7" s="9">
        <v>108</v>
      </c>
      <c r="AA7" s="17">
        <f t="shared" si="4"/>
        <v>9.9999999999997868E-2</v>
      </c>
      <c r="AB7" s="10">
        <f t="shared" si="5"/>
        <v>0</v>
      </c>
      <c r="AG7" s="14" t="s">
        <v>16</v>
      </c>
      <c r="AH7" s="9">
        <v>21.8</v>
      </c>
      <c r="AI7" s="16"/>
      <c r="AJ7" s="9">
        <v>108</v>
      </c>
      <c r="AK7" s="9">
        <v>216</v>
      </c>
      <c r="AL7" s="9">
        <f t="shared" si="6"/>
        <v>21.8</v>
      </c>
      <c r="AM7" s="10">
        <f t="shared" si="7"/>
        <v>108</v>
      </c>
      <c r="AR7" s="14" t="s">
        <v>16</v>
      </c>
      <c r="AS7" s="9">
        <v>21.8</v>
      </c>
      <c r="AT7" s="9">
        <v>21.8</v>
      </c>
      <c r="AU7" s="9">
        <v>108</v>
      </c>
      <c r="AV7" s="9">
        <v>88.3</v>
      </c>
      <c r="AW7" s="9">
        <f t="shared" si="8"/>
        <v>0</v>
      </c>
      <c r="AX7" s="10">
        <f t="shared" si="10"/>
        <v>19.700000000000003</v>
      </c>
      <c r="BC7" s="14" t="s">
        <v>16</v>
      </c>
      <c r="BD7" s="9">
        <v>21.8</v>
      </c>
      <c r="BE7" s="9"/>
      <c r="BF7" s="9">
        <v>108</v>
      </c>
      <c r="BG7" s="9"/>
      <c r="BH7" s="9">
        <f t="shared" si="9"/>
        <v>21.8</v>
      </c>
      <c r="BI7" s="10">
        <f t="shared" si="11"/>
        <v>108</v>
      </c>
    </row>
    <row r="8" spans="1:61" x14ac:dyDescent="0.25">
      <c r="B8" s="14" t="s">
        <v>17</v>
      </c>
      <c r="C8" s="9">
        <v>24.5</v>
      </c>
      <c r="D8" s="9">
        <v>20.5</v>
      </c>
      <c r="E8" s="9">
        <v>110</v>
      </c>
      <c r="F8" s="9">
        <v>107</v>
      </c>
      <c r="G8" s="9">
        <f t="shared" si="0"/>
        <v>4</v>
      </c>
      <c r="H8" s="10">
        <f t="shared" si="1"/>
        <v>3</v>
      </c>
      <c r="K8" s="11"/>
      <c r="L8" s="14" t="s">
        <v>17</v>
      </c>
      <c r="M8" s="9">
        <v>24.5</v>
      </c>
      <c r="N8" s="9">
        <v>23.9</v>
      </c>
      <c r="O8" s="9">
        <v>110</v>
      </c>
      <c r="P8" s="9">
        <v>51</v>
      </c>
      <c r="Q8" s="9">
        <f t="shared" si="2"/>
        <v>0.60000000000000142</v>
      </c>
      <c r="R8" s="10">
        <f t="shared" si="3"/>
        <v>59</v>
      </c>
      <c r="V8" s="14" t="s">
        <v>17</v>
      </c>
      <c r="W8" s="9">
        <v>24.5</v>
      </c>
      <c r="X8" s="9">
        <v>24.5</v>
      </c>
      <c r="Y8" s="9">
        <v>110</v>
      </c>
      <c r="Z8" s="9">
        <v>111</v>
      </c>
      <c r="AA8" s="17">
        <f t="shared" si="4"/>
        <v>0</v>
      </c>
      <c r="AB8" s="10">
        <f t="shared" si="5"/>
        <v>1</v>
      </c>
      <c r="AG8" s="14" t="s">
        <v>17</v>
      </c>
      <c r="AH8" s="9">
        <v>24.5</v>
      </c>
      <c r="AI8" s="9"/>
      <c r="AJ8" s="9">
        <v>110</v>
      </c>
      <c r="AK8" s="9">
        <v>222</v>
      </c>
      <c r="AL8" s="9">
        <f t="shared" si="6"/>
        <v>24.5</v>
      </c>
      <c r="AM8" s="10">
        <f t="shared" si="7"/>
        <v>112</v>
      </c>
      <c r="AR8" s="14" t="s">
        <v>17</v>
      </c>
      <c r="AS8" s="9">
        <v>24.5</v>
      </c>
      <c r="AT8" s="9">
        <v>22</v>
      </c>
      <c r="AU8" s="9">
        <v>110</v>
      </c>
      <c r="AV8" s="9">
        <v>59.6</v>
      </c>
      <c r="AW8" s="9">
        <f t="shared" si="8"/>
        <v>2.5</v>
      </c>
      <c r="AX8" s="10">
        <f t="shared" si="10"/>
        <v>50.4</v>
      </c>
      <c r="BC8" s="14" t="s">
        <v>17</v>
      </c>
      <c r="BD8" s="9">
        <v>24.5</v>
      </c>
      <c r="BE8" s="9"/>
      <c r="BF8" s="9">
        <v>110</v>
      </c>
      <c r="BG8" s="9"/>
      <c r="BH8" s="9">
        <f t="shared" si="9"/>
        <v>24.5</v>
      </c>
      <c r="BI8" s="10">
        <f t="shared" si="11"/>
        <v>110</v>
      </c>
    </row>
    <row r="9" spans="1:61" x14ac:dyDescent="0.25">
      <c r="B9" s="14" t="s">
        <v>18</v>
      </c>
      <c r="C9" s="9">
        <v>22</v>
      </c>
      <c r="D9" s="9">
        <v>20</v>
      </c>
      <c r="E9" s="9">
        <v>113</v>
      </c>
      <c r="F9" s="9">
        <v>64</v>
      </c>
      <c r="G9" s="9">
        <f t="shared" si="0"/>
        <v>2</v>
      </c>
      <c r="H9" s="10">
        <f t="shared" si="1"/>
        <v>49</v>
      </c>
      <c r="L9" s="14" t="s">
        <v>18</v>
      </c>
      <c r="M9" s="9">
        <v>22</v>
      </c>
      <c r="N9" s="9">
        <v>21.1</v>
      </c>
      <c r="O9" s="9">
        <v>113</v>
      </c>
      <c r="P9" s="9">
        <v>60.5</v>
      </c>
      <c r="Q9" s="9">
        <f t="shared" si="2"/>
        <v>0.89999999999999858</v>
      </c>
      <c r="R9" s="10">
        <f t="shared" si="3"/>
        <v>52.5</v>
      </c>
      <c r="V9" s="14" t="s">
        <v>18</v>
      </c>
      <c r="W9" s="9">
        <v>22</v>
      </c>
      <c r="X9" s="9">
        <v>20.5</v>
      </c>
      <c r="Y9" s="9">
        <v>113</v>
      </c>
      <c r="Z9" s="9">
        <v>100.7</v>
      </c>
      <c r="AA9" s="9">
        <f t="shared" si="4"/>
        <v>1.5</v>
      </c>
      <c r="AB9" s="10">
        <f t="shared" si="5"/>
        <v>12.299999999999997</v>
      </c>
      <c r="AG9" s="14" t="s">
        <v>18</v>
      </c>
      <c r="AH9" s="9">
        <v>22</v>
      </c>
      <c r="AI9" s="9"/>
      <c r="AJ9" s="9">
        <v>113</v>
      </c>
      <c r="AK9" s="9">
        <v>113.5</v>
      </c>
      <c r="AL9" s="9">
        <f t="shared" si="6"/>
        <v>22</v>
      </c>
      <c r="AM9" s="10">
        <f t="shared" si="7"/>
        <v>0.5</v>
      </c>
      <c r="AR9" s="14" t="s">
        <v>18</v>
      </c>
      <c r="AS9" s="9">
        <v>22</v>
      </c>
      <c r="AT9" s="9">
        <v>20.8</v>
      </c>
      <c r="AU9" s="9">
        <v>113</v>
      </c>
      <c r="AV9" s="9">
        <v>70.599999999999994</v>
      </c>
      <c r="AW9" s="9">
        <f t="shared" si="8"/>
        <v>1.1999999999999993</v>
      </c>
      <c r="AX9" s="10">
        <f t="shared" si="10"/>
        <v>42.400000000000006</v>
      </c>
      <c r="BC9" s="14" t="s">
        <v>18</v>
      </c>
      <c r="BD9" s="9">
        <v>22</v>
      </c>
      <c r="BE9" s="9"/>
      <c r="BF9" s="9">
        <v>113</v>
      </c>
      <c r="BG9" s="9"/>
      <c r="BH9" s="9">
        <f t="shared" si="9"/>
        <v>22</v>
      </c>
      <c r="BI9" s="10">
        <f t="shared" si="11"/>
        <v>113</v>
      </c>
    </row>
    <row r="10" spans="1:61" x14ac:dyDescent="0.25">
      <c r="B10" s="14" t="s">
        <v>19</v>
      </c>
      <c r="C10" s="9">
        <v>25.5</v>
      </c>
      <c r="D10" s="9">
        <v>22</v>
      </c>
      <c r="E10" s="9">
        <v>110</v>
      </c>
      <c r="F10" s="9">
        <v>76</v>
      </c>
      <c r="G10" s="9">
        <f t="shared" si="0"/>
        <v>3.5</v>
      </c>
      <c r="H10" s="10">
        <f t="shared" si="1"/>
        <v>34</v>
      </c>
      <c r="L10" s="14" t="s">
        <v>19</v>
      </c>
      <c r="M10" s="9">
        <v>25.5</v>
      </c>
      <c r="N10" s="9">
        <v>25.5</v>
      </c>
      <c r="O10" s="9">
        <v>110</v>
      </c>
      <c r="P10" s="9">
        <v>75.5</v>
      </c>
      <c r="Q10" s="9">
        <f t="shared" si="2"/>
        <v>0</v>
      </c>
      <c r="R10" s="10">
        <f t="shared" si="3"/>
        <v>34.5</v>
      </c>
      <c r="V10" s="14" t="s">
        <v>19</v>
      </c>
      <c r="W10" s="9">
        <v>25.5</v>
      </c>
      <c r="X10" s="9">
        <v>24.9</v>
      </c>
      <c r="Y10" s="9">
        <v>110</v>
      </c>
      <c r="Z10" s="9">
        <v>105.1</v>
      </c>
      <c r="AA10" s="9">
        <f t="shared" si="4"/>
        <v>0.60000000000000142</v>
      </c>
      <c r="AB10" s="10">
        <f t="shared" si="5"/>
        <v>4.9000000000000057</v>
      </c>
      <c r="AG10" s="14" t="s">
        <v>19</v>
      </c>
      <c r="AH10" s="9">
        <v>25.5</v>
      </c>
      <c r="AI10" s="9"/>
      <c r="AJ10" s="9">
        <v>110</v>
      </c>
      <c r="AK10" s="9">
        <v>206</v>
      </c>
      <c r="AL10" s="9">
        <f t="shared" si="6"/>
        <v>25.5</v>
      </c>
      <c r="AM10" s="10">
        <f t="shared" si="7"/>
        <v>96</v>
      </c>
      <c r="AR10" s="14" t="s">
        <v>19</v>
      </c>
      <c r="AS10" s="9">
        <v>25.5</v>
      </c>
      <c r="AT10" s="9">
        <v>25.5</v>
      </c>
      <c r="AU10" s="9">
        <v>110</v>
      </c>
      <c r="AV10" s="9">
        <v>100.6</v>
      </c>
      <c r="AW10" s="9">
        <f t="shared" si="8"/>
        <v>0</v>
      </c>
      <c r="AX10" s="10">
        <f t="shared" si="10"/>
        <v>9.4000000000000057</v>
      </c>
      <c r="BC10" s="14" t="s">
        <v>19</v>
      </c>
      <c r="BD10" s="9">
        <v>25.5</v>
      </c>
      <c r="BE10" s="9"/>
      <c r="BF10" s="9">
        <v>110</v>
      </c>
      <c r="BG10" s="9"/>
      <c r="BH10" s="9">
        <f t="shared" si="9"/>
        <v>25.5</v>
      </c>
      <c r="BI10" s="10">
        <f t="shared" si="11"/>
        <v>110</v>
      </c>
    </row>
    <row r="11" spans="1:61" x14ac:dyDescent="0.25">
      <c r="B11" s="14" t="s">
        <v>20</v>
      </c>
      <c r="C11" s="9">
        <v>19.5</v>
      </c>
      <c r="D11" s="9">
        <v>19</v>
      </c>
      <c r="E11" s="9">
        <v>102</v>
      </c>
      <c r="F11" s="9">
        <v>79</v>
      </c>
      <c r="G11" s="9">
        <f t="shared" si="0"/>
        <v>0.5</v>
      </c>
      <c r="H11" s="10">
        <f t="shared" si="1"/>
        <v>23</v>
      </c>
      <c r="L11" s="14" t="s">
        <v>20</v>
      </c>
      <c r="M11" s="9">
        <v>19.5</v>
      </c>
      <c r="N11" s="9">
        <v>19</v>
      </c>
      <c r="O11" s="9">
        <v>102</v>
      </c>
      <c r="P11" s="9">
        <v>95.5</v>
      </c>
      <c r="Q11" s="9">
        <f t="shared" si="2"/>
        <v>0.5</v>
      </c>
      <c r="R11" s="10">
        <f t="shared" si="3"/>
        <v>6.5</v>
      </c>
      <c r="V11" s="14" t="s">
        <v>20</v>
      </c>
      <c r="W11" s="9">
        <v>19.5</v>
      </c>
      <c r="X11" s="9">
        <v>19</v>
      </c>
      <c r="Y11" s="9">
        <v>102</v>
      </c>
      <c r="Z11" s="9">
        <v>92.3</v>
      </c>
      <c r="AA11" s="9">
        <f t="shared" si="4"/>
        <v>0.5</v>
      </c>
      <c r="AB11" s="10">
        <f t="shared" si="5"/>
        <v>9.7000000000000028</v>
      </c>
      <c r="AG11" s="14" t="s">
        <v>20</v>
      </c>
      <c r="AH11" s="9">
        <v>19.5</v>
      </c>
      <c r="AI11" s="9"/>
      <c r="AJ11" s="9">
        <v>102</v>
      </c>
      <c r="AK11" s="9">
        <v>74.3</v>
      </c>
      <c r="AL11" s="9">
        <f t="shared" si="6"/>
        <v>19.5</v>
      </c>
      <c r="AM11" s="10">
        <f t="shared" si="7"/>
        <v>27.700000000000003</v>
      </c>
      <c r="AR11" s="14" t="s">
        <v>20</v>
      </c>
      <c r="AS11" s="9">
        <v>19.5</v>
      </c>
      <c r="AT11" s="9">
        <v>19</v>
      </c>
      <c r="AU11" s="9">
        <v>102</v>
      </c>
      <c r="AV11" s="9">
        <v>108</v>
      </c>
      <c r="AW11" s="9">
        <f t="shared" si="8"/>
        <v>0.5</v>
      </c>
      <c r="AX11" s="10">
        <f t="shared" si="10"/>
        <v>6</v>
      </c>
      <c r="BC11" s="14" t="s">
        <v>20</v>
      </c>
      <c r="BD11" s="9">
        <v>19.5</v>
      </c>
      <c r="BE11" s="9"/>
      <c r="BF11" s="9">
        <v>102</v>
      </c>
      <c r="BG11" s="9"/>
      <c r="BH11" s="9">
        <f t="shared" si="9"/>
        <v>19.5</v>
      </c>
      <c r="BI11" s="10">
        <f t="shared" si="11"/>
        <v>102</v>
      </c>
    </row>
    <row r="12" spans="1:61" x14ac:dyDescent="0.25">
      <c r="B12" s="14" t="s">
        <v>21</v>
      </c>
      <c r="C12" s="9">
        <v>13</v>
      </c>
      <c r="D12" s="9">
        <v>13</v>
      </c>
      <c r="E12" s="9">
        <v>104</v>
      </c>
      <c r="F12" s="9">
        <v>100</v>
      </c>
      <c r="G12" s="9">
        <f t="shared" si="0"/>
        <v>0</v>
      </c>
      <c r="H12" s="10">
        <f t="shared" si="1"/>
        <v>4</v>
      </c>
      <c r="L12" s="14" t="s">
        <v>21</v>
      </c>
      <c r="M12" s="9">
        <v>13</v>
      </c>
      <c r="N12" s="9">
        <v>12.5</v>
      </c>
      <c r="O12" s="9">
        <v>104</v>
      </c>
      <c r="P12" s="9">
        <v>65</v>
      </c>
      <c r="Q12" s="9">
        <f t="shared" si="2"/>
        <v>0.5</v>
      </c>
      <c r="R12" s="10">
        <f t="shared" si="3"/>
        <v>39</v>
      </c>
      <c r="V12" s="14" t="s">
        <v>21</v>
      </c>
      <c r="W12" s="9">
        <v>13</v>
      </c>
      <c r="X12" s="9">
        <v>13.2</v>
      </c>
      <c r="Y12" s="9">
        <v>104</v>
      </c>
      <c r="Z12" s="9">
        <v>102.5</v>
      </c>
      <c r="AA12" s="9">
        <f t="shared" si="4"/>
        <v>0.19999999999999929</v>
      </c>
      <c r="AB12" s="10">
        <f t="shared" si="5"/>
        <v>1.5</v>
      </c>
      <c r="AG12" s="14" t="s">
        <v>21</v>
      </c>
      <c r="AH12" s="9">
        <v>13</v>
      </c>
      <c r="AI12" s="9"/>
      <c r="AJ12" s="9">
        <v>104</v>
      </c>
      <c r="AK12" s="9">
        <v>110.7</v>
      </c>
      <c r="AL12" s="9">
        <f t="shared" si="6"/>
        <v>13</v>
      </c>
      <c r="AM12" s="10">
        <f t="shared" si="7"/>
        <v>6.7000000000000028</v>
      </c>
      <c r="AR12" s="14" t="s">
        <v>21</v>
      </c>
      <c r="AS12" s="9">
        <v>13</v>
      </c>
      <c r="AT12" s="9">
        <v>12.8</v>
      </c>
      <c r="AU12" s="9">
        <v>104</v>
      </c>
      <c r="AV12" s="9">
        <v>86</v>
      </c>
      <c r="AW12" s="9">
        <f t="shared" si="8"/>
        <v>0.19999999999999929</v>
      </c>
      <c r="AX12" s="10">
        <f t="shared" si="10"/>
        <v>18</v>
      </c>
      <c r="BC12" s="14" t="s">
        <v>21</v>
      </c>
      <c r="BD12" s="9">
        <v>13</v>
      </c>
      <c r="BE12" s="9"/>
      <c r="BF12" s="9">
        <v>104</v>
      </c>
      <c r="BG12" s="9"/>
      <c r="BH12" s="9">
        <f t="shared" si="9"/>
        <v>13</v>
      </c>
      <c r="BI12" s="10">
        <f t="shared" si="11"/>
        <v>104</v>
      </c>
    </row>
    <row r="13" spans="1:61" x14ac:dyDescent="0.25">
      <c r="B13" s="20" t="s">
        <v>30</v>
      </c>
      <c r="C13" s="19">
        <v>10</v>
      </c>
      <c r="D13" s="19">
        <v>8.6</v>
      </c>
      <c r="E13" s="19">
        <v>90</v>
      </c>
      <c r="F13" s="19">
        <v>88.1</v>
      </c>
      <c r="G13" s="19">
        <f>ABS(C13-D13)</f>
        <v>1.4000000000000004</v>
      </c>
      <c r="H13" s="18">
        <f>ABS(E13-F13)</f>
        <v>1.9000000000000057</v>
      </c>
      <c r="L13" s="20" t="s">
        <v>30</v>
      </c>
      <c r="M13" s="19">
        <v>10</v>
      </c>
      <c r="N13" s="19">
        <v>8.1</v>
      </c>
      <c r="O13" s="19">
        <v>90</v>
      </c>
      <c r="P13" s="19">
        <v>64</v>
      </c>
      <c r="Q13" s="19">
        <f>ABS(M13-N13)</f>
        <v>1.9000000000000004</v>
      </c>
      <c r="R13" s="18">
        <f>ABS(O13-P13)</f>
        <v>26</v>
      </c>
      <c r="V13" s="20" t="s">
        <v>30</v>
      </c>
      <c r="W13" s="19">
        <v>10</v>
      </c>
      <c r="X13" s="19">
        <v>8.8000000000000007</v>
      </c>
      <c r="Y13" s="19">
        <v>90</v>
      </c>
      <c r="Z13" s="19">
        <v>106.9</v>
      </c>
      <c r="AA13" s="19">
        <f>ABS(W13-X13)</f>
        <v>1.1999999999999993</v>
      </c>
      <c r="AB13" s="18">
        <f>ABS(Y13-Z13)</f>
        <v>16.900000000000006</v>
      </c>
      <c r="AG13" s="20" t="s">
        <v>30</v>
      </c>
      <c r="AH13" s="19">
        <v>10</v>
      </c>
      <c r="AI13" s="19"/>
      <c r="AJ13" s="19">
        <v>90</v>
      </c>
      <c r="AK13" s="19">
        <v>79.5</v>
      </c>
      <c r="AL13" s="19">
        <f>ABS(AH13-AI13)</f>
        <v>10</v>
      </c>
      <c r="AM13" s="18">
        <f>ABS(AJ13-AK13)</f>
        <v>10.5</v>
      </c>
      <c r="AR13" s="20" t="s">
        <v>30</v>
      </c>
      <c r="AS13" s="19">
        <v>10</v>
      </c>
      <c r="AT13" s="19">
        <v>9.8000000000000007</v>
      </c>
      <c r="AU13" s="19">
        <v>90</v>
      </c>
      <c r="AV13" s="19">
        <v>64</v>
      </c>
      <c r="AW13" s="19">
        <f>ABS(AS13-AT13)</f>
        <v>0.19999999999999929</v>
      </c>
      <c r="AX13" s="18">
        <f>ABS(AU13-AV13)</f>
        <v>26</v>
      </c>
      <c r="BC13" s="20" t="s">
        <v>30</v>
      </c>
      <c r="BD13" s="19">
        <v>10</v>
      </c>
      <c r="BE13" s="19">
        <v>9</v>
      </c>
      <c r="BF13" s="19">
        <v>90</v>
      </c>
      <c r="BG13" s="19">
        <v>64</v>
      </c>
      <c r="BH13" s="19">
        <f>ABS(BD13-BE13)</f>
        <v>1</v>
      </c>
      <c r="BI13" s="18">
        <f>ABS(BF13-BG13)</f>
        <v>26</v>
      </c>
    </row>
    <row r="14" spans="1:61" x14ac:dyDescent="0.25">
      <c r="A14" s="2"/>
      <c r="B14" s="20" t="s">
        <v>125</v>
      </c>
      <c r="C14" s="19">
        <v>20</v>
      </c>
      <c r="D14" s="19">
        <v>18.5</v>
      </c>
      <c r="E14" s="19">
        <v>78</v>
      </c>
      <c r="F14" s="19">
        <v>74.900000000000006</v>
      </c>
      <c r="G14" s="19">
        <f>ABS(C14-D14)</f>
        <v>1.5</v>
      </c>
      <c r="H14" s="18">
        <f>ABS(E14-F14)</f>
        <v>3.0999999999999943</v>
      </c>
      <c r="L14" s="20" t="s">
        <v>125</v>
      </c>
      <c r="M14" s="19">
        <v>20</v>
      </c>
      <c r="N14" s="19">
        <v>18.8</v>
      </c>
      <c r="O14" s="19">
        <v>78</v>
      </c>
      <c r="P14" s="19">
        <v>74.400000000000006</v>
      </c>
      <c r="Q14" s="19">
        <f>ABS(M14-N14)</f>
        <v>1.1999999999999993</v>
      </c>
      <c r="R14" s="18">
        <f>ABS(O14-P14)</f>
        <v>3.5999999999999943</v>
      </c>
      <c r="V14" s="20" t="s">
        <v>125</v>
      </c>
      <c r="W14" s="19">
        <v>20</v>
      </c>
      <c r="X14" s="19">
        <v>19</v>
      </c>
      <c r="Y14" s="19">
        <v>78</v>
      </c>
      <c r="Z14" s="19">
        <v>92.9</v>
      </c>
      <c r="AA14" s="19">
        <f>ABS(W14-X14)</f>
        <v>1</v>
      </c>
      <c r="AB14" s="18">
        <f>ABS(Y14-Z14)</f>
        <v>14.900000000000006</v>
      </c>
      <c r="AG14" s="20" t="s">
        <v>125</v>
      </c>
      <c r="AH14" s="19">
        <v>20</v>
      </c>
      <c r="AI14" s="19"/>
      <c r="AJ14" s="19">
        <v>78</v>
      </c>
      <c r="AK14" s="19"/>
      <c r="AL14" s="19">
        <f>ABS(AH14-AI14)</f>
        <v>20</v>
      </c>
      <c r="AM14" s="18">
        <f>ABS(AJ14-AK14)</f>
        <v>78</v>
      </c>
      <c r="AR14" s="20" t="s">
        <v>125</v>
      </c>
      <c r="AS14" s="19">
        <v>20</v>
      </c>
      <c r="AT14" s="19">
        <v>20</v>
      </c>
      <c r="AU14" s="19">
        <v>78</v>
      </c>
      <c r="AV14" s="19">
        <v>53.2</v>
      </c>
      <c r="AW14" s="19">
        <f>ABS(AS14-AT14)</f>
        <v>0</v>
      </c>
      <c r="AX14" s="18">
        <f>ABS(AU14-AV14)</f>
        <v>24.799999999999997</v>
      </c>
      <c r="BC14" s="20" t="s">
        <v>125</v>
      </c>
      <c r="BD14" s="19">
        <v>20</v>
      </c>
      <c r="BE14" s="19">
        <v>20.010000000000002</v>
      </c>
      <c r="BF14" s="19">
        <v>78</v>
      </c>
      <c r="BG14" s="19">
        <v>57.24</v>
      </c>
      <c r="BH14" s="19">
        <f>ABS(BD14-BE14)</f>
        <v>1.0000000000001563E-2</v>
      </c>
      <c r="BI14" s="18">
        <f>ABS(BF14-BG14)</f>
        <v>20.759999999999998</v>
      </c>
    </row>
    <row r="15" spans="1:61" x14ac:dyDescent="0.25">
      <c r="B15" s="20" t="s">
        <v>126</v>
      </c>
      <c r="C15" s="19">
        <v>18.8</v>
      </c>
      <c r="D15" s="21">
        <v>17.399999999999999</v>
      </c>
      <c r="E15" s="19">
        <v>85</v>
      </c>
      <c r="F15" s="19">
        <v>80.7</v>
      </c>
      <c r="G15" s="19">
        <f t="shared" ref="G15:G17" si="12">ABS(C15-D15)</f>
        <v>1.4000000000000021</v>
      </c>
      <c r="H15" s="18">
        <f t="shared" ref="H15:H17" si="13">ABS(E15-F15)</f>
        <v>4.2999999999999972</v>
      </c>
      <c r="L15" s="20" t="s">
        <v>126</v>
      </c>
      <c r="M15" s="19">
        <v>18.8</v>
      </c>
      <c r="N15" s="21">
        <v>17.399999999999999</v>
      </c>
      <c r="O15" s="19">
        <v>85</v>
      </c>
      <c r="P15" s="19">
        <v>58.4</v>
      </c>
      <c r="Q15" s="19">
        <f t="shared" ref="Q15:Q17" si="14">ABS(M15-N15)</f>
        <v>1.4000000000000021</v>
      </c>
      <c r="R15" s="18">
        <f t="shared" ref="R15:R17" si="15">ABS(O15-P15)</f>
        <v>26.6</v>
      </c>
      <c r="V15" s="20" t="s">
        <v>126</v>
      </c>
      <c r="W15" s="19">
        <v>18.8</v>
      </c>
      <c r="X15" s="21">
        <v>17.600000000000001</v>
      </c>
      <c r="Y15" s="19">
        <v>85</v>
      </c>
      <c r="Z15" s="19">
        <v>85.8</v>
      </c>
      <c r="AA15" s="19">
        <f t="shared" ref="AA15:AA17" si="16">ABS(W15-X15)</f>
        <v>1.1999999999999993</v>
      </c>
      <c r="AB15" s="18">
        <f t="shared" ref="AB15:AB17" si="17">ABS(Y15-Z15)</f>
        <v>0.79999999999999716</v>
      </c>
      <c r="AG15" s="20" t="s">
        <v>126</v>
      </c>
      <c r="AH15" s="19">
        <v>18.8</v>
      </c>
      <c r="AI15" s="21"/>
      <c r="AJ15" s="19">
        <v>85</v>
      </c>
      <c r="AK15" s="19"/>
      <c r="AL15" s="19">
        <f t="shared" ref="AL15:AL17" si="18">ABS(AH15-AI15)</f>
        <v>18.8</v>
      </c>
      <c r="AM15" s="18">
        <f t="shared" ref="AM15:AM17" si="19">ABS(AJ15-AK15)</f>
        <v>85</v>
      </c>
      <c r="AR15" s="20" t="s">
        <v>126</v>
      </c>
      <c r="AS15" s="19">
        <v>18.8</v>
      </c>
      <c r="AT15" s="21">
        <v>17.2</v>
      </c>
      <c r="AU15" s="19">
        <v>85</v>
      </c>
      <c r="AV15" s="19">
        <v>76.400000000000006</v>
      </c>
      <c r="AW15" s="19">
        <f t="shared" ref="AW15:AW17" si="20">ABS(AS15-AT15)</f>
        <v>1.6000000000000014</v>
      </c>
      <c r="AX15" s="18">
        <f t="shared" ref="AX15:AX17" si="21">ABS(AU15-AV15)</f>
        <v>8.5999999999999943</v>
      </c>
      <c r="BC15" s="20" t="s">
        <v>126</v>
      </c>
      <c r="BD15" s="19">
        <v>18.8</v>
      </c>
      <c r="BE15" s="21">
        <v>17.21</v>
      </c>
      <c r="BF15" s="19">
        <v>85</v>
      </c>
      <c r="BG15" s="19">
        <v>68.45</v>
      </c>
      <c r="BH15" s="19">
        <f t="shared" ref="BH15:BH56" si="22">ABS(BD15-BE15)</f>
        <v>1.5899999999999999</v>
      </c>
      <c r="BI15" s="18">
        <f t="shared" ref="BI15:BI22" si="23">ABS(BF15-BG15)</f>
        <v>16.549999999999997</v>
      </c>
    </row>
    <row r="16" spans="1:61" x14ac:dyDescent="0.25">
      <c r="B16" s="22" t="s">
        <v>127</v>
      </c>
      <c r="C16" s="23">
        <v>20.399999999999999</v>
      </c>
      <c r="D16" s="23">
        <v>13</v>
      </c>
      <c r="E16" s="23">
        <v>85</v>
      </c>
      <c r="F16" s="23">
        <v>55.3</v>
      </c>
      <c r="G16" s="23">
        <f t="shared" si="12"/>
        <v>7.3999999999999986</v>
      </c>
      <c r="H16" s="24">
        <f t="shared" si="13"/>
        <v>29.700000000000003</v>
      </c>
      <c r="L16" s="20" t="s">
        <v>127</v>
      </c>
      <c r="M16" s="19">
        <v>20.399999999999999</v>
      </c>
      <c r="N16" s="19">
        <v>21.4</v>
      </c>
      <c r="O16" s="19">
        <v>85</v>
      </c>
      <c r="P16" s="19">
        <v>79.2</v>
      </c>
      <c r="Q16" s="19">
        <f t="shared" si="14"/>
        <v>1</v>
      </c>
      <c r="R16" s="18">
        <f t="shared" si="15"/>
        <v>5.7999999999999972</v>
      </c>
      <c r="V16" s="20" t="s">
        <v>127</v>
      </c>
      <c r="W16" s="19">
        <v>20.399999999999999</v>
      </c>
      <c r="X16" s="19">
        <v>16.100000000000001</v>
      </c>
      <c r="Y16" s="19">
        <v>85</v>
      </c>
      <c r="Z16" s="19">
        <v>93.5</v>
      </c>
      <c r="AA16" s="19">
        <f t="shared" si="16"/>
        <v>4.2999999999999972</v>
      </c>
      <c r="AB16" s="18">
        <f t="shared" si="17"/>
        <v>8.5</v>
      </c>
      <c r="AG16" s="20" t="s">
        <v>127</v>
      </c>
      <c r="AH16" s="19">
        <v>20.399999999999999</v>
      </c>
      <c r="AI16" s="19"/>
      <c r="AJ16" s="19">
        <v>85</v>
      </c>
      <c r="AK16" s="19"/>
      <c r="AL16" s="19">
        <f t="shared" si="18"/>
        <v>20.399999999999999</v>
      </c>
      <c r="AM16" s="18">
        <f t="shared" si="19"/>
        <v>85</v>
      </c>
      <c r="AR16" s="20" t="s">
        <v>127</v>
      </c>
      <c r="AS16" s="19">
        <v>20.399999999999999</v>
      </c>
      <c r="AT16" s="19">
        <v>20</v>
      </c>
      <c r="AU16" s="19">
        <v>85</v>
      </c>
      <c r="AV16" s="19">
        <v>78.3</v>
      </c>
      <c r="AW16" s="19">
        <f t="shared" si="20"/>
        <v>0.39999999999999858</v>
      </c>
      <c r="AX16" s="18">
        <f t="shared" si="21"/>
        <v>6.7000000000000028</v>
      </c>
      <c r="BC16" s="20" t="s">
        <v>127</v>
      </c>
      <c r="BD16" s="19">
        <v>20.399999999999999</v>
      </c>
      <c r="BE16" s="19">
        <v>22.01</v>
      </c>
      <c r="BF16" s="19">
        <v>85</v>
      </c>
      <c r="BG16" s="19">
        <v>86.46</v>
      </c>
      <c r="BH16" s="19">
        <f t="shared" si="22"/>
        <v>1.610000000000003</v>
      </c>
      <c r="BI16" s="18">
        <f t="shared" si="23"/>
        <v>1.4599999999999937</v>
      </c>
    </row>
    <row r="17" spans="2:61" x14ac:dyDescent="0.25">
      <c r="B17" s="20" t="s">
        <v>128</v>
      </c>
      <c r="C17" s="19">
        <v>18</v>
      </c>
      <c r="D17" s="19">
        <v>17.399999999999999</v>
      </c>
      <c r="E17" s="19">
        <v>80</v>
      </c>
      <c r="F17" s="19">
        <v>80.7</v>
      </c>
      <c r="G17" s="19">
        <f t="shared" si="12"/>
        <v>0.60000000000000142</v>
      </c>
      <c r="H17" s="18">
        <f t="shared" si="13"/>
        <v>0.70000000000000284</v>
      </c>
      <c r="L17" s="20" t="s">
        <v>128</v>
      </c>
      <c r="M17" s="19">
        <v>18</v>
      </c>
      <c r="N17" s="19">
        <v>17.899999999999999</v>
      </c>
      <c r="O17" s="19">
        <v>80</v>
      </c>
      <c r="P17" s="19">
        <v>84.4</v>
      </c>
      <c r="Q17" s="19">
        <f t="shared" si="14"/>
        <v>0.10000000000000142</v>
      </c>
      <c r="R17" s="18">
        <f t="shared" si="15"/>
        <v>4.4000000000000057</v>
      </c>
      <c r="V17" s="20" t="s">
        <v>128</v>
      </c>
      <c r="W17" s="19">
        <v>18</v>
      </c>
      <c r="X17" s="19">
        <v>17.3</v>
      </c>
      <c r="Y17" s="19">
        <v>80</v>
      </c>
      <c r="Z17" s="19">
        <v>87.9</v>
      </c>
      <c r="AA17" s="19">
        <f t="shared" si="16"/>
        <v>0.69999999999999929</v>
      </c>
      <c r="AB17" s="18">
        <f t="shared" si="17"/>
        <v>7.9000000000000057</v>
      </c>
      <c r="AG17" s="20" t="s">
        <v>128</v>
      </c>
      <c r="AH17" s="19">
        <v>18</v>
      </c>
      <c r="AI17" s="19"/>
      <c r="AJ17" s="19">
        <v>80</v>
      </c>
      <c r="AK17" s="19"/>
      <c r="AL17" s="19">
        <f t="shared" si="18"/>
        <v>18</v>
      </c>
      <c r="AM17" s="18">
        <f t="shared" si="19"/>
        <v>80</v>
      </c>
      <c r="AR17" s="20" t="s">
        <v>128</v>
      </c>
      <c r="AS17" s="19">
        <v>18</v>
      </c>
      <c r="AT17" s="19">
        <v>17.8</v>
      </c>
      <c r="AU17" s="19">
        <v>80</v>
      </c>
      <c r="AV17" s="19">
        <v>59.4</v>
      </c>
      <c r="AW17" s="19">
        <f t="shared" si="20"/>
        <v>0.19999999999999929</v>
      </c>
      <c r="AX17" s="18">
        <f t="shared" si="21"/>
        <v>20.6</v>
      </c>
      <c r="BC17" s="20" t="s">
        <v>128</v>
      </c>
      <c r="BD17" s="19">
        <v>18</v>
      </c>
      <c r="BE17" s="19">
        <v>17.21</v>
      </c>
      <c r="BF17" s="19">
        <v>80</v>
      </c>
      <c r="BG17" s="19">
        <v>65.64</v>
      </c>
      <c r="BH17" s="19">
        <f t="shared" si="22"/>
        <v>0.78999999999999915</v>
      </c>
      <c r="BI17" s="18">
        <f t="shared" si="23"/>
        <v>14.36</v>
      </c>
    </row>
    <row r="18" spans="2:61" x14ac:dyDescent="0.25">
      <c r="B18" s="14" t="s">
        <v>46</v>
      </c>
      <c r="C18" s="9">
        <v>16</v>
      </c>
      <c r="D18" s="9">
        <v>16</v>
      </c>
      <c r="E18" s="9">
        <v>85</v>
      </c>
      <c r="F18" s="9">
        <v>50.2</v>
      </c>
      <c r="G18" s="9">
        <f t="shared" ref="G18:G57" si="24">ABS(C18-D18)</f>
        <v>0</v>
      </c>
      <c r="H18" s="10">
        <f t="shared" ref="H18:H57" si="25">ABS(E18-F18)</f>
        <v>34.799999999999997</v>
      </c>
      <c r="L18" s="14" t="s">
        <v>46</v>
      </c>
      <c r="M18" s="9">
        <v>16</v>
      </c>
      <c r="N18" s="9">
        <v>16.7</v>
      </c>
      <c r="O18" s="9">
        <v>85</v>
      </c>
      <c r="P18" s="9">
        <v>50</v>
      </c>
      <c r="Q18" s="9">
        <f t="shared" ref="Q18:Q57" si="26">ABS(M18-N18)</f>
        <v>0.69999999999999929</v>
      </c>
      <c r="R18" s="10">
        <f t="shared" ref="R18:R57" si="27">ABS(O18-P18)</f>
        <v>35</v>
      </c>
      <c r="V18" s="14" t="s">
        <v>46</v>
      </c>
      <c r="W18" s="9">
        <v>16</v>
      </c>
      <c r="X18" s="9">
        <v>16</v>
      </c>
      <c r="Y18" s="9">
        <v>85</v>
      </c>
      <c r="Z18" s="9">
        <v>81.400000000000006</v>
      </c>
      <c r="AA18" s="9">
        <f t="shared" ref="AA18:AA57" si="28">ABS(W18-X18)</f>
        <v>0</v>
      </c>
      <c r="AB18" s="10">
        <f t="shared" ref="AB18:AB57" si="29">ABS(Y18-Z18)</f>
        <v>3.5999999999999943</v>
      </c>
      <c r="AG18" s="14" t="s">
        <v>46</v>
      </c>
      <c r="AH18" s="9">
        <v>16</v>
      </c>
      <c r="AI18" s="9"/>
      <c r="AJ18" s="9">
        <v>85</v>
      </c>
      <c r="AK18" s="9">
        <v>83.3</v>
      </c>
      <c r="AL18" s="9">
        <f t="shared" ref="AL18:AL57" si="30">ABS(AH18-AI18)</f>
        <v>16</v>
      </c>
      <c r="AM18" s="10">
        <f t="shared" ref="AM18:AM57" si="31">ABS(AJ18-AK18)</f>
        <v>1.7000000000000028</v>
      </c>
      <c r="AR18" s="14" t="s">
        <v>46</v>
      </c>
      <c r="AS18" s="9">
        <v>16</v>
      </c>
      <c r="AT18" s="9">
        <v>16.600000000000001</v>
      </c>
      <c r="AU18" s="9">
        <v>85</v>
      </c>
      <c r="AV18" s="9">
        <v>83.4</v>
      </c>
      <c r="AW18" s="9">
        <f t="shared" ref="AW18:AW57" si="32">ABS(AS18-AT18)</f>
        <v>0.60000000000000142</v>
      </c>
      <c r="AX18" s="10">
        <f t="shared" ref="AX18:AX57" si="33">ABS(AU18-AV18)</f>
        <v>1.5999999999999943</v>
      </c>
      <c r="BC18" s="14" t="s">
        <v>46</v>
      </c>
      <c r="BD18" s="9">
        <v>16</v>
      </c>
      <c r="BE18" s="9"/>
      <c r="BF18" s="9">
        <v>85</v>
      </c>
      <c r="BG18" s="9"/>
      <c r="BH18" s="9">
        <f t="shared" si="22"/>
        <v>16</v>
      </c>
      <c r="BI18" s="10">
        <f t="shared" si="23"/>
        <v>85</v>
      </c>
    </row>
    <row r="19" spans="2:61" x14ac:dyDescent="0.25">
      <c r="B19" s="14" t="s">
        <v>47</v>
      </c>
      <c r="C19" s="9">
        <v>15.2</v>
      </c>
      <c r="D19" s="9">
        <v>15</v>
      </c>
      <c r="E19" s="9">
        <v>61</v>
      </c>
      <c r="F19" s="9">
        <v>55.7</v>
      </c>
      <c r="G19" s="9">
        <f t="shared" si="24"/>
        <v>0.19999999999999929</v>
      </c>
      <c r="H19" s="10">
        <f t="shared" si="25"/>
        <v>5.2999999999999972</v>
      </c>
      <c r="L19" s="14" t="s">
        <v>47</v>
      </c>
      <c r="M19" s="9">
        <v>15.2</v>
      </c>
      <c r="N19" s="9">
        <v>14.7</v>
      </c>
      <c r="O19" s="9">
        <v>61</v>
      </c>
      <c r="P19" s="9">
        <v>61.2</v>
      </c>
      <c r="Q19" s="9">
        <f t="shared" si="26"/>
        <v>0.5</v>
      </c>
      <c r="R19" s="10">
        <f t="shared" si="27"/>
        <v>0.20000000000000284</v>
      </c>
      <c r="V19" s="14" t="s">
        <v>47</v>
      </c>
      <c r="W19" s="9">
        <v>15.2</v>
      </c>
      <c r="X19" s="9">
        <v>15.2</v>
      </c>
      <c r="Y19" s="9">
        <v>61</v>
      </c>
      <c r="Z19" s="9">
        <v>86.4</v>
      </c>
      <c r="AA19" s="9">
        <f t="shared" si="28"/>
        <v>0</v>
      </c>
      <c r="AB19" s="10">
        <f t="shared" si="29"/>
        <v>25.400000000000006</v>
      </c>
      <c r="AG19" s="14" t="s">
        <v>47</v>
      </c>
      <c r="AH19" s="9">
        <v>15.2</v>
      </c>
      <c r="AI19" s="9"/>
      <c r="AJ19" s="9">
        <v>61</v>
      </c>
      <c r="AK19" s="9">
        <v>108.5</v>
      </c>
      <c r="AL19" s="9">
        <f t="shared" si="30"/>
        <v>15.2</v>
      </c>
      <c r="AM19" s="10">
        <f t="shared" si="31"/>
        <v>47.5</v>
      </c>
      <c r="AR19" s="14" t="s">
        <v>47</v>
      </c>
      <c r="AS19" s="9">
        <v>15.2</v>
      </c>
      <c r="AT19" s="9">
        <v>15</v>
      </c>
      <c r="AU19" s="9">
        <v>61</v>
      </c>
      <c r="AV19" s="9">
        <v>90.8</v>
      </c>
      <c r="AW19" s="9">
        <f t="shared" si="32"/>
        <v>0.19999999999999929</v>
      </c>
      <c r="AX19" s="10">
        <f t="shared" si="33"/>
        <v>29.799999999999997</v>
      </c>
      <c r="BC19" s="14" t="s">
        <v>47</v>
      </c>
      <c r="BD19" s="9">
        <v>15.2</v>
      </c>
      <c r="BE19" s="9"/>
      <c r="BF19" s="9">
        <v>61</v>
      </c>
      <c r="BG19" s="9"/>
      <c r="BH19" s="9">
        <f t="shared" si="22"/>
        <v>15.2</v>
      </c>
      <c r="BI19" s="10">
        <f t="shared" si="23"/>
        <v>61</v>
      </c>
    </row>
    <row r="20" spans="2:61" x14ac:dyDescent="0.25">
      <c r="B20" s="14" t="s">
        <v>48</v>
      </c>
      <c r="C20" s="9">
        <v>14</v>
      </c>
      <c r="D20" s="9">
        <v>13.1</v>
      </c>
      <c r="E20" s="9">
        <v>85</v>
      </c>
      <c r="F20" s="9">
        <v>63.6</v>
      </c>
      <c r="G20" s="9">
        <f t="shared" si="24"/>
        <v>0.90000000000000036</v>
      </c>
      <c r="H20" s="10">
        <f t="shared" si="25"/>
        <v>21.4</v>
      </c>
      <c r="L20" s="14" t="s">
        <v>48</v>
      </c>
      <c r="M20" s="9">
        <v>14</v>
      </c>
      <c r="N20" s="9">
        <v>13.9</v>
      </c>
      <c r="O20" s="9">
        <v>85</v>
      </c>
      <c r="P20" s="9">
        <v>54.4</v>
      </c>
      <c r="Q20" s="9">
        <f t="shared" si="26"/>
        <v>9.9999999999999645E-2</v>
      </c>
      <c r="R20" s="10">
        <f t="shared" si="27"/>
        <v>30.6</v>
      </c>
      <c r="V20" s="14" t="s">
        <v>48</v>
      </c>
      <c r="W20" s="9">
        <v>14</v>
      </c>
      <c r="X20" s="9">
        <v>13.5</v>
      </c>
      <c r="Y20" s="9">
        <v>85</v>
      </c>
      <c r="Z20" s="9">
        <v>83.8</v>
      </c>
      <c r="AA20" s="9">
        <f t="shared" si="28"/>
        <v>0.5</v>
      </c>
      <c r="AB20" s="10">
        <f t="shared" si="29"/>
        <v>1.2000000000000028</v>
      </c>
      <c r="AG20" s="14" t="s">
        <v>48</v>
      </c>
      <c r="AH20" s="9">
        <v>14</v>
      </c>
      <c r="AI20" s="9"/>
      <c r="AJ20" s="9">
        <v>85</v>
      </c>
      <c r="AK20" s="9">
        <v>198.8</v>
      </c>
      <c r="AL20" s="9">
        <f t="shared" si="30"/>
        <v>14</v>
      </c>
      <c r="AM20" s="10">
        <f t="shared" si="31"/>
        <v>113.80000000000001</v>
      </c>
      <c r="AR20" s="14" t="s">
        <v>48</v>
      </c>
      <c r="AS20" s="9">
        <v>14</v>
      </c>
      <c r="AT20" s="9">
        <v>14.1</v>
      </c>
      <c r="AU20" s="9">
        <v>85</v>
      </c>
      <c r="AV20" s="9">
        <v>59.3</v>
      </c>
      <c r="AW20" s="9">
        <f t="shared" si="32"/>
        <v>9.9999999999999645E-2</v>
      </c>
      <c r="AX20" s="10">
        <f t="shared" si="33"/>
        <v>25.700000000000003</v>
      </c>
      <c r="BC20" s="14" t="s">
        <v>48</v>
      </c>
      <c r="BD20" s="9">
        <v>14</v>
      </c>
      <c r="BE20" s="9"/>
      <c r="BF20" s="9">
        <v>85</v>
      </c>
      <c r="BG20" s="9"/>
      <c r="BH20" s="9">
        <f t="shared" si="22"/>
        <v>14</v>
      </c>
      <c r="BI20" s="10">
        <f t="shared" si="23"/>
        <v>85</v>
      </c>
    </row>
    <row r="21" spans="2:61" x14ac:dyDescent="0.25">
      <c r="B21" s="14" t="s">
        <v>49</v>
      </c>
      <c r="C21" s="9">
        <v>13.2</v>
      </c>
      <c r="D21" s="9">
        <v>13</v>
      </c>
      <c r="E21" s="9">
        <v>87</v>
      </c>
      <c r="F21" s="9">
        <v>51.9</v>
      </c>
      <c r="G21" s="9">
        <f t="shared" si="24"/>
        <v>0.19999999999999929</v>
      </c>
      <c r="H21" s="10">
        <f t="shared" si="25"/>
        <v>35.1</v>
      </c>
      <c r="L21" s="14" t="s">
        <v>49</v>
      </c>
      <c r="M21" s="9">
        <v>13.2</v>
      </c>
      <c r="N21" s="9">
        <v>13.4</v>
      </c>
      <c r="O21" s="9">
        <v>87</v>
      </c>
      <c r="P21" s="9">
        <v>50.8</v>
      </c>
      <c r="Q21" s="9">
        <f t="shared" si="26"/>
        <v>0.20000000000000107</v>
      </c>
      <c r="R21" s="10">
        <f t="shared" si="27"/>
        <v>36.200000000000003</v>
      </c>
      <c r="V21" s="14" t="s">
        <v>49</v>
      </c>
      <c r="W21" s="9">
        <v>13.2</v>
      </c>
      <c r="X21" s="9">
        <v>12.9</v>
      </c>
      <c r="Y21" s="9">
        <v>87</v>
      </c>
      <c r="Z21" s="9">
        <v>81.2</v>
      </c>
      <c r="AA21" s="9">
        <f t="shared" si="28"/>
        <v>0.29999999999999893</v>
      </c>
      <c r="AB21" s="10">
        <f t="shared" si="29"/>
        <v>5.7999999999999972</v>
      </c>
      <c r="AG21" s="14" t="s">
        <v>49</v>
      </c>
      <c r="AH21" s="9">
        <v>13.2</v>
      </c>
      <c r="AI21" s="9"/>
      <c r="AJ21" s="9">
        <v>87</v>
      </c>
      <c r="AK21" s="9">
        <v>86</v>
      </c>
      <c r="AL21" s="9">
        <f t="shared" si="30"/>
        <v>13.2</v>
      </c>
      <c r="AM21" s="10">
        <f t="shared" si="31"/>
        <v>1</v>
      </c>
      <c r="AR21" s="14" t="s">
        <v>49</v>
      </c>
      <c r="AS21" s="9">
        <v>13.2</v>
      </c>
      <c r="AT21" s="9">
        <v>13</v>
      </c>
      <c r="AU21" s="9">
        <v>87</v>
      </c>
      <c r="AV21" s="9">
        <v>86.8</v>
      </c>
      <c r="AW21" s="9">
        <f t="shared" si="32"/>
        <v>0.19999999999999929</v>
      </c>
      <c r="AX21" s="10">
        <f t="shared" si="33"/>
        <v>0.20000000000000284</v>
      </c>
      <c r="BC21" s="14" t="s">
        <v>49</v>
      </c>
      <c r="BD21" s="9">
        <v>13.2</v>
      </c>
      <c r="BE21" s="9"/>
      <c r="BF21" s="9">
        <v>87</v>
      </c>
      <c r="BG21" s="9"/>
      <c r="BH21" s="9">
        <f>ABS(BD21-BE21)</f>
        <v>13.2</v>
      </c>
      <c r="BI21" s="10">
        <f t="shared" si="23"/>
        <v>87</v>
      </c>
    </row>
    <row r="22" spans="2:61" x14ac:dyDescent="0.25">
      <c r="B22" s="14" t="s">
        <v>50</v>
      </c>
      <c r="C22" s="9">
        <v>14.4</v>
      </c>
      <c r="D22" s="9">
        <v>14.2</v>
      </c>
      <c r="E22" s="9">
        <v>83</v>
      </c>
      <c r="F22" s="9">
        <v>51.5</v>
      </c>
      <c r="G22" s="9">
        <f t="shared" si="24"/>
        <v>0.20000000000000107</v>
      </c>
      <c r="H22" s="10">
        <f t="shared" si="25"/>
        <v>31.5</v>
      </c>
      <c r="L22" s="14" t="s">
        <v>50</v>
      </c>
      <c r="M22" s="9">
        <v>14.4</v>
      </c>
      <c r="N22" s="9">
        <v>14.2</v>
      </c>
      <c r="O22" s="9">
        <v>83</v>
      </c>
      <c r="P22" s="9">
        <v>58.4</v>
      </c>
      <c r="Q22" s="9">
        <f t="shared" si="26"/>
        <v>0.20000000000000107</v>
      </c>
      <c r="R22" s="10">
        <f t="shared" si="27"/>
        <v>24.6</v>
      </c>
      <c r="V22" s="14" t="s">
        <v>50</v>
      </c>
      <c r="W22" s="9">
        <v>14.4</v>
      </c>
      <c r="X22" s="9">
        <v>14</v>
      </c>
      <c r="Y22" s="9">
        <v>83</v>
      </c>
      <c r="Z22" s="9">
        <v>84.1</v>
      </c>
      <c r="AA22" s="9">
        <f t="shared" si="28"/>
        <v>0.40000000000000036</v>
      </c>
      <c r="AB22" s="10">
        <f t="shared" si="29"/>
        <v>1.0999999999999943</v>
      </c>
      <c r="AG22" s="14" t="s">
        <v>50</v>
      </c>
      <c r="AH22" s="9">
        <v>14.4</v>
      </c>
      <c r="AI22" s="9"/>
      <c r="AJ22" s="9">
        <v>83</v>
      </c>
      <c r="AK22" s="9">
        <v>140.30000000000001</v>
      </c>
      <c r="AL22" s="9">
        <f t="shared" si="30"/>
        <v>14.4</v>
      </c>
      <c r="AM22" s="10">
        <f t="shared" si="31"/>
        <v>57.300000000000011</v>
      </c>
      <c r="AR22" s="14" t="s">
        <v>50</v>
      </c>
      <c r="AS22" s="9">
        <v>14.4</v>
      </c>
      <c r="AT22" s="9">
        <v>14.4</v>
      </c>
      <c r="AU22" s="9">
        <v>83</v>
      </c>
      <c r="AV22" s="9">
        <v>71.099999999999994</v>
      </c>
      <c r="AW22" s="9">
        <f t="shared" si="32"/>
        <v>0</v>
      </c>
      <c r="AX22" s="10">
        <f t="shared" si="33"/>
        <v>11.900000000000006</v>
      </c>
      <c r="BC22" s="14" t="s">
        <v>50</v>
      </c>
      <c r="BD22" s="9">
        <v>14.4</v>
      </c>
      <c r="BE22" s="9"/>
      <c r="BF22" s="9">
        <v>83</v>
      </c>
      <c r="BG22" s="9"/>
      <c r="BH22" s="9">
        <f t="shared" si="22"/>
        <v>14.4</v>
      </c>
      <c r="BI22" s="10">
        <f t="shared" si="23"/>
        <v>83</v>
      </c>
    </row>
    <row r="23" spans="2:61" x14ac:dyDescent="0.25">
      <c r="B23" s="14" t="s">
        <v>51</v>
      </c>
      <c r="C23" s="9">
        <v>14.4</v>
      </c>
      <c r="D23" s="9">
        <v>15</v>
      </c>
      <c r="E23" s="9">
        <v>73</v>
      </c>
      <c r="F23" s="9">
        <v>46.6</v>
      </c>
      <c r="G23" s="9">
        <f t="shared" si="24"/>
        <v>0.59999999999999964</v>
      </c>
      <c r="H23" s="10">
        <f t="shared" si="25"/>
        <v>26.4</v>
      </c>
      <c r="L23" s="14" t="s">
        <v>51</v>
      </c>
      <c r="M23" s="9">
        <v>14.4</v>
      </c>
      <c r="N23" s="9">
        <v>14.7</v>
      </c>
      <c r="O23" s="9">
        <v>73</v>
      </c>
      <c r="P23" s="9">
        <v>73</v>
      </c>
      <c r="Q23" s="9">
        <f t="shared" si="26"/>
        <v>0.29999999999999893</v>
      </c>
      <c r="R23" s="10">
        <f t="shared" si="27"/>
        <v>0</v>
      </c>
      <c r="V23" s="14" t="s">
        <v>51</v>
      </c>
      <c r="W23" s="9">
        <v>14.4</v>
      </c>
      <c r="X23" s="9">
        <v>15.2</v>
      </c>
      <c r="Y23" s="9">
        <v>73</v>
      </c>
      <c r="Z23" s="9">
        <v>81.7</v>
      </c>
      <c r="AA23" s="9">
        <f t="shared" si="28"/>
        <v>0.79999999999999893</v>
      </c>
      <c r="AB23" s="10">
        <f t="shared" si="29"/>
        <v>8.7000000000000028</v>
      </c>
      <c r="AG23" s="14" t="s">
        <v>51</v>
      </c>
      <c r="AH23" s="9">
        <v>14.4</v>
      </c>
      <c r="AI23" s="9"/>
      <c r="AJ23" s="9">
        <v>73</v>
      </c>
      <c r="AK23" s="9">
        <v>165</v>
      </c>
      <c r="AL23" s="9">
        <f t="shared" si="30"/>
        <v>14.4</v>
      </c>
      <c r="AM23" s="10">
        <f t="shared" si="31"/>
        <v>92</v>
      </c>
      <c r="AR23" s="14" t="s">
        <v>51</v>
      </c>
      <c r="AS23" s="9">
        <v>14.4</v>
      </c>
      <c r="AT23" s="9">
        <v>15</v>
      </c>
      <c r="AU23" s="9">
        <v>73</v>
      </c>
      <c r="AV23" s="9">
        <v>89.8</v>
      </c>
      <c r="AW23" s="9">
        <f t="shared" si="32"/>
        <v>0.59999999999999964</v>
      </c>
      <c r="AX23" s="10">
        <f>ABS(AU23-AV23)</f>
        <v>16.799999999999997</v>
      </c>
      <c r="BC23" s="14" t="s">
        <v>51</v>
      </c>
      <c r="BD23" s="9">
        <v>14.4</v>
      </c>
      <c r="BE23" s="9"/>
      <c r="BF23" s="9">
        <v>73</v>
      </c>
      <c r="BG23" s="9"/>
      <c r="BH23" s="9">
        <f t="shared" si="22"/>
        <v>14.4</v>
      </c>
      <c r="BI23" s="10">
        <f>ABS(BF23-BG23)</f>
        <v>73</v>
      </c>
    </row>
    <row r="24" spans="2:61" x14ac:dyDescent="0.25">
      <c r="B24" s="14" t="s">
        <v>52</v>
      </c>
      <c r="C24" s="9">
        <v>13.2</v>
      </c>
      <c r="D24" s="9">
        <v>13</v>
      </c>
      <c r="E24" s="9">
        <v>85</v>
      </c>
      <c r="F24" s="9">
        <v>66.3</v>
      </c>
      <c r="G24" s="9">
        <f t="shared" si="24"/>
        <v>0.19999999999999929</v>
      </c>
      <c r="H24" s="10">
        <f t="shared" si="25"/>
        <v>18.700000000000003</v>
      </c>
      <c r="L24" s="14" t="s">
        <v>52</v>
      </c>
      <c r="M24" s="9">
        <v>13.2</v>
      </c>
      <c r="N24" s="9">
        <v>13.6</v>
      </c>
      <c r="O24" s="9">
        <v>85</v>
      </c>
      <c r="P24" s="9">
        <v>53.2</v>
      </c>
      <c r="Q24" s="9">
        <f t="shared" si="26"/>
        <v>0.40000000000000036</v>
      </c>
      <c r="R24" s="10">
        <f t="shared" si="27"/>
        <v>31.799999999999997</v>
      </c>
      <c r="V24" s="14" t="s">
        <v>52</v>
      </c>
      <c r="W24" s="9">
        <v>13.2</v>
      </c>
      <c r="X24" s="9">
        <v>12.9</v>
      </c>
      <c r="Y24" s="9">
        <v>85</v>
      </c>
      <c r="Z24" s="9">
        <v>81.400000000000006</v>
      </c>
      <c r="AA24" s="9">
        <f t="shared" si="28"/>
        <v>0.29999999999999893</v>
      </c>
      <c r="AB24" s="10">
        <f t="shared" si="29"/>
        <v>3.5999999999999943</v>
      </c>
      <c r="AG24" s="14" t="s">
        <v>52</v>
      </c>
      <c r="AH24" s="9">
        <v>13.2</v>
      </c>
      <c r="AI24" s="9"/>
      <c r="AJ24" s="9">
        <v>85</v>
      </c>
      <c r="AK24" s="9">
        <v>165.5</v>
      </c>
      <c r="AL24" s="9">
        <f t="shared" si="30"/>
        <v>13.2</v>
      </c>
      <c r="AM24" s="10">
        <f t="shared" si="31"/>
        <v>80.5</v>
      </c>
      <c r="AR24" s="14" t="s">
        <v>52</v>
      </c>
      <c r="AS24" s="9">
        <v>13.2</v>
      </c>
      <c r="AT24" s="9">
        <v>13.3</v>
      </c>
      <c r="AU24" s="9">
        <v>85</v>
      </c>
      <c r="AV24" s="9">
        <v>75.599999999999994</v>
      </c>
      <c r="AW24" s="9">
        <f t="shared" si="32"/>
        <v>0.10000000000000142</v>
      </c>
      <c r="AX24" s="10">
        <f>ABS(AU24-AV24)</f>
        <v>9.4000000000000057</v>
      </c>
      <c r="BC24" s="14" t="s">
        <v>52</v>
      </c>
      <c r="BD24" s="9">
        <v>13.2</v>
      </c>
      <c r="BE24" s="9"/>
      <c r="BF24" s="9">
        <v>85</v>
      </c>
      <c r="BG24" s="9"/>
      <c r="BH24" s="9">
        <f t="shared" si="22"/>
        <v>13.2</v>
      </c>
      <c r="BI24" s="10">
        <f>ABS(BF24-BG24)</f>
        <v>85</v>
      </c>
    </row>
    <row r="25" spans="2:61" x14ac:dyDescent="0.25">
      <c r="B25" s="14" t="s">
        <v>53</v>
      </c>
      <c r="C25" s="9">
        <v>14</v>
      </c>
      <c r="D25" s="9">
        <v>13.7</v>
      </c>
      <c r="E25" s="9">
        <v>85</v>
      </c>
      <c r="F25" s="9">
        <v>63.5</v>
      </c>
      <c r="G25" s="9">
        <f t="shared" si="24"/>
        <v>0.30000000000000071</v>
      </c>
      <c r="H25" s="10">
        <f t="shared" si="25"/>
        <v>21.5</v>
      </c>
      <c r="L25" s="14" t="s">
        <v>53</v>
      </c>
      <c r="M25" s="9">
        <v>14</v>
      </c>
      <c r="N25" s="9">
        <v>14.2</v>
      </c>
      <c r="O25" s="9">
        <v>85</v>
      </c>
      <c r="P25" s="9">
        <v>110</v>
      </c>
      <c r="Q25" s="9">
        <f t="shared" si="26"/>
        <v>0.19999999999999929</v>
      </c>
      <c r="R25" s="10">
        <f t="shared" si="27"/>
        <v>25</v>
      </c>
      <c r="V25" s="14" t="s">
        <v>53</v>
      </c>
      <c r="W25" s="9">
        <v>14</v>
      </c>
      <c r="X25" s="9">
        <v>14</v>
      </c>
      <c r="Y25" s="9">
        <v>85</v>
      </c>
      <c r="Z25" s="9">
        <v>87.6</v>
      </c>
      <c r="AA25" s="9">
        <f t="shared" si="28"/>
        <v>0</v>
      </c>
      <c r="AB25" s="10">
        <f t="shared" si="29"/>
        <v>2.5999999999999943</v>
      </c>
      <c r="AG25" s="14" t="s">
        <v>53</v>
      </c>
      <c r="AH25" s="9">
        <v>14</v>
      </c>
      <c r="AI25" s="9"/>
      <c r="AJ25" s="9">
        <v>85</v>
      </c>
      <c r="AK25" s="9">
        <v>133.5</v>
      </c>
      <c r="AL25" s="9">
        <f t="shared" si="30"/>
        <v>14</v>
      </c>
      <c r="AM25" s="10">
        <f t="shared" si="31"/>
        <v>48.5</v>
      </c>
      <c r="AR25" s="14" t="s">
        <v>53</v>
      </c>
      <c r="AS25" s="9">
        <v>14</v>
      </c>
      <c r="AT25" s="9">
        <v>14.1</v>
      </c>
      <c r="AU25" s="9">
        <v>85</v>
      </c>
      <c r="AV25" s="9">
        <v>91.2</v>
      </c>
      <c r="AW25" s="9">
        <f t="shared" si="32"/>
        <v>9.9999999999999645E-2</v>
      </c>
      <c r="AX25" s="10">
        <f t="shared" si="33"/>
        <v>6.2000000000000028</v>
      </c>
      <c r="BC25" s="14" t="s">
        <v>53</v>
      </c>
      <c r="BD25" s="9">
        <v>14</v>
      </c>
      <c r="BE25" s="9"/>
      <c r="BF25" s="9">
        <v>85</v>
      </c>
      <c r="BG25" s="9"/>
      <c r="BH25" s="9">
        <f t="shared" si="22"/>
        <v>14</v>
      </c>
      <c r="BI25" s="10">
        <f t="shared" ref="BI25:BI57" si="34">ABS(BF25-BG25)</f>
        <v>85</v>
      </c>
    </row>
    <row r="26" spans="2:61" x14ac:dyDescent="0.25">
      <c r="B26" s="14" t="s">
        <v>54</v>
      </c>
      <c r="C26" s="9">
        <v>12.8</v>
      </c>
      <c r="D26" s="9">
        <v>12.7</v>
      </c>
      <c r="E26" s="9">
        <v>82</v>
      </c>
      <c r="F26" s="9">
        <v>67.3</v>
      </c>
      <c r="G26" s="9">
        <f t="shared" si="24"/>
        <v>0.10000000000000142</v>
      </c>
      <c r="H26" s="10">
        <f t="shared" si="25"/>
        <v>14.700000000000003</v>
      </c>
      <c r="L26" s="14" t="s">
        <v>54</v>
      </c>
      <c r="M26" s="9">
        <v>12.8</v>
      </c>
      <c r="N26" s="9">
        <v>13.1</v>
      </c>
      <c r="O26" s="9">
        <v>82</v>
      </c>
      <c r="P26" s="9">
        <v>50.4</v>
      </c>
      <c r="Q26" s="9">
        <f t="shared" si="26"/>
        <v>0.29999999999999893</v>
      </c>
      <c r="R26" s="10">
        <f t="shared" si="27"/>
        <v>31.6</v>
      </c>
      <c r="V26" s="14" t="s">
        <v>54</v>
      </c>
      <c r="W26" s="9">
        <v>12.8</v>
      </c>
      <c r="X26" s="9">
        <v>12.9</v>
      </c>
      <c r="Y26" s="9">
        <v>82</v>
      </c>
      <c r="Z26" s="9">
        <v>85.5</v>
      </c>
      <c r="AA26" s="9">
        <f t="shared" si="28"/>
        <v>9.9999999999999645E-2</v>
      </c>
      <c r="AB26" s="10">
        <f t="shared" si="29"/>
        <v>3.5</v>
      </c>
      <c r="AG26" s="14" t="s">
        <v>54</v>
      </c>
      <c r="AH26" s="9">
        <v>12.8</v>
      </c>
      <c r="AI26" s="9"/>
      <c r="AJ26" s="9">
        <v>82</v>
      </c>
      <c r="AK26" s="9">
        <v>160.5</v>
      </c>
      <c r="AL26" s="9">
        <f t="shared" si="30"/>
        <v>12.8</v>
      </c>
      <c r="AM26" s="10">
        <f t="shared" si="31"/>
        <v>78.5</v>
      </c>
      <c r="AR26" s="14" t="s">
        <v>54</v>
      </c>
      <c r="AS26" s="9">
        <v>12.8</v>
      </c>
      <c r="AT26" s="9">
        <v>12.6</v>
      </c>
      <c r="AU26" s="9">
        <v>82</v>
      </c>
      <c r="AV26" s="9">
        <v>74.8</v>
      </c>
      <c r="AW26" s="9">
        <f t="shared" si="32"/>
        <v>0.20000000000000107</v>
      </c>
      <c r="AX26" s="10">
        <f t="shared" si="33"/>
        <v>7.2000000000000028</v>
      </c>
      <c r="BC26" s="14" t="s">
        <v>54</v>
      </c>
      <c r="BD26" s="9">
        <v>12.8</v>
      </c>
      <c r="BE26" s="9"/>
      <c r="BF26" s="9">
        <v>82</v>
      </c>
      <c r="BG26" s="9"/>
      <c r="BH26" s="9">
        <f t="shared" si="22"/>
        <v>12.8</v>
      </c>
      <c r="BI26" s="10">
        <f t="shared" si="34"/>
        <v>82</v>
      </c>
    </row>
    <row r="27" spans="2:61" x14ac:dyDescent="0.25">
      <c r="B27" s="14" t="s">
        <v>55</v>
      </c>
      <c r="C27" s="9">
        <v>13.6</v>
      </c>
      <c r="D27" s="9">
        <v>13.5</v>
      </c>
      <c r="E27" s="9">
        <v>87</v>
      </c>
      <c r="F27" s="9">
        <v>56.5</v>
      </c>
      <c r="G27" s="9">
        <f t="shared" si="24"/>
        <v>9.9999999999999645E-2</v>
      </c>
      <c r="H27" s="10">
        <f t="shared" si="25"/>
        <v>30.5</v>
      </c>
      <c r="L27" s="14" t="s">
        <v>55</v>
      </c>
      <c r="M27" s="9">
        <v>13.6</v>
      </c>
      <c r="N27" s="9">
        <v>13.9</v>
      </c>
      <c r="O27" s="9">
        <v>87</v>
      </c>
      <c r="P27" s="9">
        <v>50</v>
      </c>
      <c r="Q27" s="9">
        <f t="shared" si="26"/>
        <v>0.30000000000000071</v>
      </c>
      <c r="R27" s="10">
        <f t="shared" si="27"/>
        <v>37</v>
      </c>
      <c r="V27" s="14" t="s">
        <v>55</v>
      </c>
      <c r="W27" s="9">
        <v>13.6</v>
      </c>
      <c r="X27" s="9">
        <v>12.9</v>
      </c>
      <c r="Y27" s="9">
        <v>87</v>
      </c>
      <c r="Z27" s="9">
        <v>80.900000000000006</v>
      </c>
      <c r="AA27" s="9">
        <f t="shared" si="28"/>
        <v>0.69999999999999929</v>
      </c>
      <c r="AB27" s="10">
        <f t="shared" si="29"/>
        <v>6.0999999999999943</v>
      </c>
      <c r="AG27" s="14" t="s">
        <v>55</v>
      </c>
      <c r="AH27" s="9">
        <v>13.6</v>
      </c>
      <c r="AI27" s="9"/>
      <c r="AJ27" s="9">
        <v>87</v>
      </c>
      <c r="AK27" s="9">
        <v>83.3</v>
      </c>
      <c r="AL27" s="9">
        <f t="shared" si="30"/>
        <v>13.6</v>
      </c>
      <c r="AM27" s="10">
        <f t="shared" si="31"/>
        <v>3.7000000000000028</v>
      </c>
      <c r="AR27" s="14" t="s">
        <v>55</v>
      </c>
      <c r="AS27" s="9">
        <v>13.6</v>
      </c>
      <c r="AT27" s="9">
        <v>14.4</v>
      </c>
      <c r="AU27" s="9">
        <v>87</v>
      </c>
      <c r="AV27" s="9">
        <v>63.4</v>
      </c>
      <c r="AW27" s="9">
        <f t="shared" si="32"/>
        <v>0.80000000000000071</v>
      </c>
      <c r="AX27" s="10">
        <f t="shared" si="33"/>
        <v>23.6</v>
      </c>
      <c r="BC27" s="14" t="s">
        <v>55</v>
      </c>
      <c r="BD27" s="9">
        <v>13.6</v>
      </c>
      <c r="BE27" s="9"/>
      <c r="BF27" s="9">
        <v>87</v>
      </c>
      <c r="BG27" s="9"/>
      <c r="BH27" s="9">
        <f t="shared" si="22"/>
        <v>13.6</v>
      </c>
      <c r="BI27" s="10">
        <f t="shared" si="34"/>
        <v>87</v>
      </c>
    </row>
    <row r="28" spans="2:61" x14ac:dyDescent="0.25">
      <c r="B28" s="14" t="s">
        <v>60</v>
      </c>
      <c r="C28" s="9">
        <v>15.6</v>
      </c>
      <c r="D28" s="9">
        <v>15.5</v>
      </c>
      <c r="E28" s="9">
        <v>100</v>
      </c>
      <c r="F28" s="9">
        <v>59.6</v>
      </c>
      <c r="G28" s="9">
        <f t="shared" si="24"/>
        <v>9.9999999999999645E-2</v>
      </c>
      <c r="H28" s="10">
        <f t="shared" si="25"/>
        <v>40.4</v>
      </c>
      <c r="L28" s="14" t="s">
        <v>60</v>
      </c>
      <c r="M28" s="9">
        <v>15.6</v>
      </c>
      <c r="N28" s="9">
        <v>15</v>
      </c>
      <c r="O28" s="9">
        <v>100</v>
      </c>
      <c r="P28" s="9">
        <v>98.4</v>
      </c>
      <c r="Q28" s="9">
        <f t="shared" si="26"/>
        <v>0.59999999999999964</v>
      </c>
      <c r="R28" s="10">
        <f t="shared" si="27"/>
        <v>1.5999999999999943</v>
      </c>
      <c r="V28" s="14" t="s">
        <v>60</v>
      </c>
      <c r="W28" s="9">
        <v>15.6</v>
      </c>
      <c r="X28" s="9">
        <v>15.2</v>
      </c>
      <c r="Y28" s="9">
        <v>100</v>
      </c>
      <c r="Z28" s="9">
        <v>95.8</v>
      </c>
      <c r="AA28" s="9">
        <f t="shared" si="28"/>
        <v>0.40000000000000036</v>
      </c>
      <c r="AB28" s="10">
        <f t="shared" si="29"/>
        <v>4.2000000000000028</v>
      </c>
      <c r="AG28" s="14" t="s">
        <v>60</v>
      </c>
      <c r="AH28" s="9">
        <v>15.6</v>
      </c>
      <c r="AI28" s="9"/>
      <c r="AJ28" s="9">
        <v>100</v>
      </c>
      <c r="AK28" s="9">
        <v>208</v>
      </c>
      <c r="AL28" s="9">
        <f t="shared" si="30"/>
        <v>15.6</v>
      </c>
      <c r="AM28" s="10">
        <f t="shared" si="31"/>
        <v>108</v>
      </c>
      <c r="AR28" s="14" t="s">
        <v>60</v>
      </c>
      <c r="AS28" s="9">
        <v>15.6</v>
      </c>
      <c r="AT28" s="9">
        <v>15</v>
      </c>
      <c r="AU28" s="9">
        <v>100</v>
      </c>
      <c r="AV28" s="9">
        <v>48.4</v>
      </c>
      <c r="AW28" s="9">
        <f t="shared" si="32"/>
        <v>0.59999999999999964</v>
      </c>
      <c r="AX28" s="10">
        <f t="shared" si="33"/>
        <v>51.6</v>
      </c>
      <c r="BC28" s="14" t="s">
        <v>60</v>
      </c>
      <c r="BD28" s="9">
        <v>15.6</v>
      </c>
      <c r="BE28" s="9"/>
      <c r="BF28" s="9">
        <v>100</v>
      </c>
      <c r="BG28" s="9"/>
      <c r="BH28" s="9">
        <f t="shared" si="22"/>
        <v>15.6</v>
      </c>
      <c r="BI28" s="10">
        <f t="shared" si="34"/>
        <v>100</v>
      </c>
    </row>
    <row r="29" spans="2:61" x14ac:dyDescent="0.25">
      <c r="B29" s="14" t="s">
        <v>61</v>
      </c>
      <c r="C29" s="9">
        <v>14.8</v>
      </c>
      <c r="D29" s="9">
        <v>14.6</v>
      </c>
      <c r="E29" s="9">
        <v>99</v>
      </c>
      <c r="F29" s="9">
        <v>57.6</v>
      </c>
      <c r="G29" s="9">
        <f t="shared" si="24"/>
        <v>0.20000000000000107</v>
      </c>
      <c r="H29" s="10">
        <f t="shared" si="25"/>
        <v>41.4</v>
      </c>
      <c r="L29" s="14" t="s">
        <v>61</v>
      </c>
      <c r="M29" s="9">
        <v>14.8</v>
      </c>
      <c r="N29" s="9">
        <v>14.6</v>
      </c>
      <c r="O29" s="9">
        <v>99</v>
      </c>
      <c r="P29" s="9">
        <v>60.4</v>
      </c>
      <c r="Q29" s="9">
        <f t="shared" si="26"/>
        <v>0.20000000000000107</v>
      </c>
      <c r="R29" s="10">
        <f t="shared" si="27"/>
        <v>38.6</v>
      </c>
      <c r="V29" s="14" t="s">
        <v>61</v>
      </c>
      <c r="W29" s="9">
        <v>14.8</v>
      </c>
      <c r="X29" s="9">
        <v>15.2</v>
      </c>
      <c r="Y29" s="9">
        <v>99</v>
      </c>
      <c r="Z29" s="9">
        <v>96.4</v>
      </c>
      <c r="AA29" s="9">
        <f t="shared" si="28"/>
        <v>0.39999999999999858</v>
      </c>
      <c r="AB29" s="10">
        <f t="shared" si="29"/>
        <v>2.5999999999999943</v>
      </c>
      <c r="AG29" s="14" t="s">
        <v>61</v>
      </c>
      <c r="AH29" s="9">
        <v>14.8</v>
      </c>
      <c r="AI29" s="9"/>
      <c r="AJ29" s="9">
        <v>99</v>
      </c>
      <c r="AK29" s="9">
        <v>57</v>
      </c>
      <c r="AL29" s="9">
        <f t="shared" si="30"/>
        <v>14.8</v>
      </c>
      <c r="AM29" s="10">
        <f t="shared" si="31"/>
        <v>42</v>
      </c>
      <c r="AR29" s="14" t="s">
        <v>61</v>
      </c>
      <c r="AS29" s="9">
        <v>14.8</v>
      </c>
      <c r="AT29" s="9">
        <v>14.8</v>
      </c>
      <c r="AU29" s="9">
        <v>99</v>
      </c>
      <c r="AV29" s="9">
        <v>52.5</v>
      </c>
      <c r="AW29" s="9">
        <f t="shared" si="32"/>
        <v>0</v>
      </c>
      <c r="AX29" s="10">
        <f t="shared" si="33"/>
        <v>46.5</v>
      </c>
      <c r="BC29" s="14" t="s">
        <v>61</v>
      </c>
      <c r="BD29" s="9">
        <v>14.8</v>
      </c>
      <c r="BE29" s="9"/>
      <c r="BF29" s="9">
        <v>99</v>
      </c>
      <c r="BG29" s="9"/>
      <c r="BH29" s="9">
        <f t="shared" si="22"/>
        <v>14.8</v>
      </c>
      <c r="BI29" s="10">
        <f t="shared" si="34"/>
        <v>99</v>
      </c>
    </row>
    <row r="30" spans="2:61" x14ac:dyDescent="0.25">
      <c r="B30" s="14" t="s">
        <v>62</v>
      </c>
      <c r="C30" s="9">
        <v>15.2</v>
      </c>
      <c r="D30" s="9">
        <v>15.1</v>
      </c>
      <c r="E30" s="9">
        <v>98</v>
      </c>
      <c r="F30" s="9">
        <v>76.8</v>
      </c>
      <c r="G30" s="9">
        <f t="shared" si="24"/>
        <v>9.9999999999999645E-2</v>
      </c>
      <c r="H30" s="10">
        <f t="shared" si="25"/>
        <v>21.200000000000003</v>
      </c>
      <c r="L30" s="14" t="s">
        <v>62</v>
      </c>
      <c r="M30" s="9">
        <v>15.2</v>
      </c>
      <c r="N30" s="9">
        <v>14.8</v>
      </c>
      <c r="O30" s="9">
        <v>98</v>
      </c>
      <c r="P30" s="9">
        <v>96</v>
      </c>
      <c r="Q30" s="9">
        <f t="shared" si="26"/>
        <v>0.39999999999999858</v>
      </c>
      <c r="R30" s="10">
        <f t="shared" si="27"/>
        <v>2</v>
      </c>
      <c r="V30" s="14" t="s">
        <v>62</v>
      </c>
      <c r="W30" s="9">
        <v>15.2</v>
      </c>
      <c r="X30" s="9">
        <v>15.2</v>
      </c>
      <c r="Y30" s="9">
        <v>98</v>
      </c>
      <c r="Z30" s="9">
        <v>91.7</v>
      </c>
      <c r="AA30" s="9">
        <f t="shared" si="28"/>
        <v>0</v>
      </c>
      <c r="AB30" s="10">
        <f t="shared" si="29"/>
        <v>6.2999999999999972</v>
      </c>
      <c r="AG30" s="14" t="s">
        <v>62</v>
      </c>
      <c r="AH30" s="9">
        <v>15.2</v>
      </c>
      <c r="AI30" s="9"/>
      <c r="AJ30" s="9">
        <v>98</v>
      </c>
      <c r="AK30" s="9">
        <v>140.5</v>
      </c>
      <c r="AL30" s="9">
        <f t="shared" si="30"/>
        <v>15.2</v>
      </c>
      <c r="AM30" s="10">
        <f t="shared" si="31"/>
        <v>42.5</v>
      </c>
      <c r="AR30" s="14" t="s">
        <v>62</v>
      </c>
      <c r="AS30" s="9">
        <v>15.2</v>
      </c>
      <c r="AT30" s="9">
        <v>15.2</v>
      </c>
      <c r="AU30" s="9">
        <v>98</v>
      </c>
      <c r="AV30" s="9">
        <v>57.6</v>
      </c>
      <c r="AW30" s="9">
        <f t="shared" si="32"/>
        <v>0</v>
      </c>
      <c r="AX30" s="10">
        <f t="shared" si="33"/>
        <v>40.4</v>
      </c>
      <c r="BC30" s="14" t="s">
        <v>62</v>
      </c>
      <c r="BD30" s="9">
        <v>15.2</v>
      </c>
      <c r="BE30" s="9"/>
      <c r="BF30" s="9">
        <v>98</v>
      </c>
      <c r="BG30" s="9"/>
      <c r="BH30" s="9">
        <f t="shared" si="22"/>
        <v>15.2</v>
      </c>
      <c r="BI30" s="10">
        <f t="shared" si="34"/>
        <v>98</v>
      </c>
    </row>
    <row r="31" spans="2:61" x14ac:dyDescent="0.25">
      <c r="B31" s="14" t="s">
        <v>63</v>
      </c>
      <c r="C31" s="9">
        <v>14.8</v>
      </c>
      <c r="D31" s="9">
        <v>15</v>
      </c>
      <c r="E31" s="9">
        <v>110</v>
      </c>
      <c r="F31" s="9">
        <v>59.9</v>
      </c>
      <c r="G31" s="9">
        <f t="shared" si="24"/>
        <v>0.19999999999999929</v>
      </c>
      <c r="H31" s="10">
        <f t="shared" si="25"/>
        <v>50.1</v>
      </c>
      <c r="L31" s="14" t="s">
        <v>63</v>
      </c>
      <c r="M31" s="9">
        <v>14.8</v>
      </c>
      <c r="N31" s="9">
        <v>14.5</v>
      </c>
      <c r="O31" s="9">
        <v>110</v>
      </c>
      <c r="P31" s="9">
        <v>96.4</v>
      </c>
      <c r="Q31" s="9">
        <f t="shared" si="26"/>
        <v>0.30000000000000071</v>
      </c>
      <c r="R31" s="10">
        <f t="shared" si="27"/>
        <v>13.599999999999994</v>
      </c>
      <c r="V31" s="14" t="s">
        <v>63</v>
      </c>
      <c r="W31" s="9">
        <v>14.8</v>
      </c>
      <c r="X31" s="9">
        <v>14</v>
      </c>
      <c r="Y31" s="9">
        <v>110</v>
      </c>
      <c r="Z31" s="9">
        <v>96</v>
      </c>
      <c r="AA31" s="9">
        <f t="shared" si="28"/>
        <v>0.80000000000000071</v>
      </c>
      <c r="AB31" s="10">
        <f t="shared" si="29"/>
        <v>14</v>
      </c>
      <c r="AG31" s="14" t="s">
        <v>63</v>
      </c>
      <c r="AH31" s="9">
        <v>14.8</v>
      </c>
      <c r="AI31" s="9"/>
      <c r="AJ31" s="9">
        <v>110</v>
      </c>
      <c r="AK31" s="9">
        <v>120</v>
      </c>
      <c r="AL31" s="9">
        <f t="shared" si="30"/>
        <v>14.8</v>
      </c>
      <c r="AM31" s="10">
        <f t="shared" si="31"/>
        <v>10</v>
      </c>
      <c r="AR31" s="14" t="s">
        <v>63</v>
      </c>
      <c r="AS31" s="9">
        <v>14.8</v>
      </c>
      <c r="AT31" s="9">
        <v>14</v>
      </c>
      <c r="AU31" s="9">
        <v>110</v>
      </c>
      <c r="AV31" s="9">
        <v>85</v>
      </c>
      <c r="AW31" s="9">
        <f t="shared" si="32"/>
        <v>0.80000000000000071</v>
      </c>
      <c r="AX31" s="10">
        <f t="shared" si="33"/>
        <v>25</v>
      </c>
      <c r="BC31" s="14" t="s">
        <v>63</v>
      </c>
      <c r="BD31" s="9">
        <v>14.8</v>
      </c>
      <c r="BE31" s="9"/>
      <c r="BF31" s="9">
        <v>110</v>
      </c>
      <c r="BG31" s="9"/>
      <c r="BH31" s="9">
        <f t="shared" si="22"/>
        <v>14.8</v>
      </c>
      <c r="BI31" s="10">
        <f t="shared" si="34"/>
        <v>110</v>
      </c>
    </row>
    <row r="32" spans="2:61" x14ac:dyDescent="0.25">
      <c r="B32" s="14" t="s">
        <v>64</v>
      </c>
      <c r="C32" s="9">
        <v>14.4</v>
      </c>
      <c r="D32" s="9">
        <v>15</v>
      </c>
      <c r="E32" s="9">
        <v>100</v>
      </c>
      <c r="F32" s="9">
        <v>67.3</v>
      </c>
      <c r="G32" s="9">
        <f t="shared" si="24"/>
        <v>0.59999999999999964</v>
      </c>
      <c r="H32" s="10">
        <f t="shared" si="25"/>
        <v>32.700000000000003</v>
      </c>
      <c r="L32" s="14" t="s">
        <v>64</v>
      </c>
      <c r="M32" s="9">
        <v>14.4</v>
      </c>
      <c r="N32" s="9">
        <v>14.3</v>
      </c>
      <c r="O32" s="9">
        <v>100</v>
      </c>
      <c r="P32" s="9">
        <v>49.6</v>
      </c>
      <c r="Q32" s="9">
        <f t="shared" si="26"/>
        <v>9.9999999999999645E-2</v>
      </c>
      <c r="R32" s="10">
        <f t="shared" si="27"/>
        <v>50.4</v>
      </c>
      <c r="V32" s="14" t="s">
        <v>64</v>
      </c>
      <c r="W32" s="9">
        <v>14.4</v>
      </c>
      <c r="X32" s="9">
        <v>14</v>
      </c>
      <c r="Y32" s="9">
        <v>100</v>
      </c>
      <c r="Z32" s="9">
        <v>91.4</v>
      </c>
      <c r="AA32" s="9">
        <f t="shared" si="28"/>
        <v>0.40000000000000036</v>
      </c>
      <c r="AB32" s="10">
        <f t="shared" si="29"/>
        <v>8.5999999999999943</v>
      </c>
      <c r="AG32" s="14" t="s">
        <v>64</v>
      </c>
      <c r="AH32" s="9">
        <v>14.4</v>
      </c>
      <c r="AI32" s="9"/>
      <c r="AJ32" s="9">
        <v>100</v>
      </c>
      <c r="AK32" s="9">
        <v>125.7</v>
      </c>
      <c r="AL32" s="9">
        <f t="shared" si="30"/>
        <v>14.4</v>
      </c>
      <c r="AM32" s="10">
        <f t="shared" si="31"/>
        <v>25.700000000000003</v>
      </c>
      <c r="AR32" s="14" t="s">
        <v>64</v>
      </c>
      <c r="AS32" s="9">
        <v>14.4</v>
      </c>
      <c r="AT32" s="9">
        <v>13.5</v>
      </c>
      <c r="AU32" s="9">
        <v>100</v>
      </c>
      <c r="AV32" s="9">
        <v>81.599999999999994</v>
      </c>
      <c r="AW32" s="9">
        <f t="shared" si="32"/>
        <v>0.90000000000000036</v>
      </c>
      <c r="AX32" s="10">
        <f t="shared" si="33"/>
        <v>18.400000000000006</v>
      </c>
      <c r="BC32" s="14" t="s">
        <v>64</v>
      </c>
      <c r="BD32" s="9">
        <v>14.4</v>
      </c>
      <c r="BE32" s="9"/>
      <c r="BF32" s="9">
        <v>100</v>
      </c>
      <c r="BG32" s="9"/>
      <c r="BH32" s="9">
        <f t="shared" si="22"/>
        <v>14.4</v>
      </c>
      <c r="BI32" s="10">
        <f t="shared" si="34"/>
        <v>100</v>
      </c>
    </row>
    <row r="33" spans="2:61" x14ac:dyDescent="0.25">
      <c r="B33" s="14" t="s">
        <v>65</v>
      </c>
      <c r="C33" s="9">
        <v>15.6</v>
      </c>
      <c r="D33" s="9">
        <v>15.2</v>
      </c>
      <c r="E33" s="9">
        <v>97</v>
      </c>
      <c r="F33" s="9">
        <v>71.599999999999994</v>
      </c>
      <c r="G33" s="9">
        <f t="shared" si="24"/>
        <v>0.40000000000000036</v>
      </c>
      <c r="H33" s="10">
        <f t="shared" si="25"/>
        <v>25.400000000000006</v>
      </c>
      <c r="L33" s="14" t="s">
        <v>65</v>
      </c>
      <c r="M33" s="9">
        <v>15.6</v>
      </c>
      <c r="N33" s="9">
        <v>15</v>
      </c>
      <c r="O33" s="9">
        <v>97</v>
      </c>
      <c r="P33" s="9">
        <v>96</v>
      </c>
      <c r="Q33" s="9">
        <f t="shared" si="26"/>
        <v>0.59999999999999964</v>
      </c>
      <c r="R33" s="10">
        <f t="shared" si="27"/>
        <v>1</v>
      </c>
      <c r="V33" s="14" t="s">
        <v>65</v>
      </c>
      <c r="W33" s="9">
        <v>15.6</v>
      </c>
      <c r="X33" s="9">
        <v>15.2</v>
      </c>
      <c r="Y33" s="9">
        <v>97</v>
      </c>
      <c r="Z33" s="9">
        <v>96.7</v>
      </c>
      <c r="AA33" s="9">
        <f t="shared" si="28"/>
        <v>0.40000000000000036</v>
      </c>
      <c r="AB33" s="10">
        <f t="shared" si="29"/>
        <v>0.29999999999999716</v>
      </c>
      <c r="AG33" s="14" t="s">
        <v>65</v>
      </c>
      <c r="AH33" s="9">
        <v>15.6</v>
      </c>
      <c r="AI33" s="9"/>
      <c r="AJ33" s="9">
        <v>97</v>
      </c>
      <c r="AK33" s="9">
        <v>60</v>
      </c>
      <c r="AL33" s="9">
        <f t="shared" si="30"/>
        <v>15.6</v>
      </c>
      <c r="AM33" s="10">
        <f t="shared" si="31"/>
        <v>37</v>
      </c>
      <c r="AR33" s="14" t="s">
        <v>65</v>
      </c>
      <c r="AS33" s="9">
        <v>15.6</v>
      </c>
      <c r="AT33" s="9">
        <v>15</v>
      </c>
      <c r="AU33" s="9">
        <v>97</v>
      </c>
      <c r="AV33" s="9">
        <v>96</v>
      </c>
      <c r="AW33" s="9">
        <f t="shared" si="32"/>
        <v>0.59999999999999964</v>
      </c>
      <c r="AX33" s="10">
        <f t="shared" si="33"/>
        <v>1</v>
      </c>
      <c r="BC33" s="14" t="s">
        <v>65</v>
      </c>
      <c r="BD33" s="9">
        <v>15.6</v>
      </c>
      <c r="BE33" s="9"/>
      <c r="BF33" s="9">
        <v>97</v>
      </c>
      <c r="BG33" s="9"/>
      <c r="BH33" s="9">
        <f t="shared" si="22"/>
        <v>15.6</v>
      </c>
      <c r="BI33" s="10">
        <f t="shared" si="34"/>
        <v>97</v>
      </c>
    </row>
    <row r="34" spans="2:61" x14ac:dyDescent="0.25">
      <c r="B34" s="14" t="s">
        <v>66</v>
      </c>
      <c r="C34" s="9">
        <v>14.4</v>
      </c>
      <c r="D34" s="9">
        <v>14.2</v>
      </c>
      <c r="E34" s="9">
        <v>95</v>
      </c>
      <c r="F34" s="9">
        <v>57.2</v>
      </c>
      <c r="G34" s="9">
        <f t="shared" si="24"/>
        <v>0.20000000000000107</v>
      </c>
      <c r="H34" s="10">
        <f t="shared" si="25"/>
        <v>37.799999999999997</v>
      </c>
      <c r="L34" s="14" t="s">
        <v>66</v>
      </c>
      <c r="M34" s="9">
        <v>14.4</v>
      </c>
      <c r="N34" s="9">
        <v>14.2</v>
      </c>
      <c r="O34" s="9">
        <v>95</v>
      </c>
      <c r="P34" s="9">
        <v>112</v>
      </c>
      <c r="Q34" s="9">
        <f t="shared" si="26"/>
        <v>0.20000000000000107</v>
      </c>
      <c r="R34" s="10">
        <f t="shared" si="27"/>
        <v>17</v>
      </c>
      <c r="V34" s="14" t="s">
        <v>66</v>
      </c>
      <c r="W34" s="9">
        <v>14.4</v>
      </c>
      <c r="X34" s="9">
        <v>14</v>
      </c>
      <c r="Y34" s="9">
        <v>95</v>
      </c>
      <c r="Z34" s="9">
        <v>90.2</v>
      </c>
      <c r="AA34" s="9">
        <f t="shared" si="28"/>
        <v>0.40000000000000036</v>
      </c>
      <c r="AB34" s="10">
        <f t="shared" si="29"/>
        <v>4.7999999999999972</v>
      </c>
      <c r="AG34" s="14" t="s">
        <v>66</v>
      </c>
      <c r="AH34" s="9">
        <v>14.4</v>
      </c>
      <c r="AI34" s="9"/>
      <c r="AJ34" s="9">
        <v>95</v>
      </c>
      <c r="AK34" s="9">
        <v>113</v>
      </c>
      <c r="AL34" s="9">
        <f t="shared" si="30"/>
        <v>14.4</v>
      </c>
      <c r="AM34" s="10">
        <f t="shared" si="31"/>
        <v>18</v>
      </c>
      <c r="AR34" s="14" t="s">
        <v>66</v>
      </c>
      <c r="AS34" s="9">
        <v>14.4</v>
      </c>
      <c r="AT34" s="9">
        <v>14.4</v>
      </c>
      <c r="AU34" s="9">
        <v>95</v>
      </c>
      <c r="AV34" s="9">
        <v>73.400000000000006</v>
      </c>
      <c r="AW34" s="9">
        <f t="shared" si="32"/>
        <v>0</v>
      </c>
      <c r="AX34" s="10">
        <f t="shared" si="33"/>
        <v>21.599999999999994</v>
      </c>
      <c r="BC34" s="14" t="s">
        <v>66</v>
      </c>
      <c r="BD34" s="9">
        <v>14.4</v>
      </c>
      <c r="BE34" s="9"/>
      <c r="BF34" s="9">
        <v>95</v>
      </c>
      <c r="BG34" s="9"/>
      <c r="BH34" s="9">
        <f t="shared" si="22"/>
        <v>14.4</v>
      </c>
      <c r="BI34" s="10">
        <f t="shared" si="34"/>
        <v>95</v>
      </c>
    </row>
    <row r="35" spans="2:61" x14ac:dyDescent="0.25">
      <c r="B35" s="14" t="s">
        <v>67</v>
      </c>
      <c r="C35" s="9">
        <v>14.6</v>
      </c>
      <c r="D35" s="9">
        <v>14.3</v>
      </c>
      <c r="E35" s="9">
        <v>95</v>
      </c>
      <c r="F35" s="9">
        <v>55.1</v>
      </c>
      <c r="G35" s="9">
        <f t="shared" si="24"/>
        <v>0.29999999999999893</v>
      </c>
      <c r="H35" s="10">
        <f t="shared" si="25"/>
        <v>39.9</v>
      </c>
      <c r="L35" s="14" t="s">
        <v>67</v>
      </c>
      <c r="M35" s="9">
        <v>14.6</v>
      </c>
      <c r="N35" s="9">
        <v>14.4</v>
      </c>
      <c r="O35" s="9">
        <v>95</v>
      </c>
      <c r="P35" s="9">
        <v>95.6</v>
      </c>
      <c r="Q35" s="9">
        <f t="shared" si="26"/>
        <v>0.19999999999999929</v>
      </c>
      <c r="R35" s="10">
        <f t="shared" si="27"/>
        <v>0.59999999999999432</v>
      </c>
      <c r="V35" s="14" t="s">
        <v>67</v>
      </c>
      <c r="W35" s="9">
        <v>14.6</v>
      </c>
      <c r="X35" s="9">
        <v>14</v>
      </c>
      <c r="Y35" s="9">
        <v>95</v>
      </c>
      <c r="Z35" s="9">
        <v>93.5</v>
      </c>
      <c r="AA35" s="9">
        <f t="shared" si="28"/>
        <v>0.59999999999999964</v>
      </c>
      <c r="AB35" s="10">
        <f t="shared" si="29"/>
        <v>1.5</v>
      </c>
      <c r="AG35" s="14" t="s">
        <v>67</v>
      </c>
      <c r="AH35" s="9">
        <v>14.6</v>
      </c>
      <c r="AI35" s="9"/>
      <c r="AJ35" s="9">
        <v>95</v>
      </c>
      <c r="AK35" s="9">
        <v>140.30000000000001</v>
      </c>
      <c r="AL35" s="9">
        <f t="shared" si="30"/>
        <v>14.6</v>
      </c>
      <c r="AM35" s="10">
        <f t="shared" si="31"/>
        <v>45.300000000000011</v>
      </c>
      <c r="AR35" s="14" t="s">
        <v>67</v>
      </c>
      <c r="AS35" s="9">
        <v>14.6</v>
      </c>
      <c r="AT35" s="9">
        <v>14.4</v>
      </c>
      <c r="AU35" s="9">
        <v>95</v>
      </c>
      <c r="AV35" s="9">
        <v>77.7</v>
      </c>
      <c r="AW35" s="9">
        <f t="shared" si="32"/>
        <v>0.19999999999999929</v>
      </c>
      <c r="AX35" s="10">
        <f t="shared" si="33"/>
        <v>17.299999999999997</v>
      </c>
      <c r="BC35" s="14" t="s">
        <v>67</v>
      </c>
      <c r="BD35" s="9">
        <v>14.6</v>
      </c>
      <c r="BE35" s="9"/>
      <c r="BF35" s="9">
        <v>95</v>
      </c>
      <c r="BG35" s="9"/>
      <c r="BH35" s="9">
        <f t="shared" si="22"/>
        <v>14.6</v>
      </c>
      <c r="BI35" s="10">
        <f t="shared" si="34"/>
        <v>95</v>
      </c>
    </row>
    <row r="36" spans="2:61" x14ac:dyDescent="0.25">
      <c r="B36" s="14" t="s">
        <v>68</v>
      </c>
      <c r="C36" s="9">
        <v>14.2</v>
      </c>
      <c r="D36" s="9">
        <v>14</v>
      </c>
      <c r="E36" s="9">
        <v>96</v>
      </c>
      <c r="F36" s="9">
        <v>62.3</v>
      </c>
      <c r="G36" s="9">
        <f t="shared" si="24"/>
        <v>0.19999999999999929</v>
      </c>
      <c r="H36" s="10">
        <f t="shared" si="25"/>
        <v>33.700000000000003</v>
      </c>
      <c r="L36" s="14" t="s">
        <v>68</v>
      </c>
      <c r="M36" s="9">
        <v>14.2</v>
      </c>
      <c r="N36" s="9">
        <v>14.2</v>
      </c>
      <c r="O36" s="9">
        <v>96</v>
      </c>
      <c r="P36" s="9">
        <v>58.4</v>
      </c>
      <c r="Q36" s="9">
        <f t="shared" si="26"/>
        <v>0</v>
      </c>
      <c r="R36" s="10">
        <f t="shared" si="27"/>
        <v>37.6</v>
      </c>
      <c r="V36" s="14" t="s">
        <v>68</v>
      </c>
      <c r="W36" s="9">
        <v>14.2</v>
      </c>
      <c r="X36" s="9">
        <v>14</v>
      </c>
      <c r="Y36" s="9">
        <v>96</v>
      </c>
      <c r="Z36" s="9">
        <v>95.5</v>
      </c>
      <c r="AA36" s="9">
        <f t="shared" si="28"/>
        <v>0.19999999999999929</v>
      </c>
      <c r="AB36" s="10">
        <f t="shared" si="29"/>
        <v>0.5</v>
      </c>
      <c r="AG36" s="14" t="s">
        <v>68</v>
      </c>
      <c r="AH36" s="9">
        <v>14.2</v>
      </c>
      <c r="AI36" s="9"/>
      <c r="AJ36" s="9">
        <v>96</v>
      </c>
      <c r="AK36" s="9">
        <v>65</v>
      </c>
      <c r="AL36" s="9">
        <f t="shared" si="30"/>
        <v>14.2</v>
      </c>
      <c r="AM36" s="10">
        <f t="shared" si="31"/>
        <v>31</v>
      </c>
      <c r="AR36" s="14" t="s">
        <v>68</v>
      </c>
      <c r="AS36" s="9">
        <v>14.2</v>
      </c>
      <c r="AT36" s="9">
        <v>14.2</v>
      </c>
      <c r="AU36" s="9">
        <v>96</v>
      </c>
      <c r="AV36" s="9">
        <v>98.7</v>
      </c>
      <c r="AW36" s="9">
        <f t="shared" si="32"/>
        <v>0</v>
      </c>
      <c r="AX36" s="10">
        <f t="shared" si="33"/>
        <v>2.7000000000000028</v>
      </c>
      <c r="BC36" s="14" t="s">
        <v>68</v>
      </c>
      <c r="BD36" s="9">
        <v>14.2</v>
      </c>
      <c r="BE36" s="9"/>
      <c r="BF36" s="9">
        <v>96</v>
      </c>
      <c r="BG36" s="9"/>
      <c r="BH36" s="9">
        <f t="shared" si="22"/>
        <v>14.2</v>
      </c>
      <c r="BI36" s="10">
        <f t="shared" si="34"/>
        <v>96</v>
      </c>
    </row>
    <row r="37" spans="2:61" x14ac:dyDescent="0.25">
      <c r="B37" s="14" t="s">
        <v>69</v>
      </c>
      <c r="C37" s="9">
        <v>15</v>
      </c>
      <c r="D37" s="9">
        <v>13.8</v>
      </c>
      <c r="E37" s="9">
        <v>95</v>
      </c>
      <c r="F37" s="9">
        <v>52</v>
      </c>
      <c r="G37" s="9">
        <f t="shared" si="24"/>
        <v>1.1999999999999993</v>
      </c>
      <c r="H37" s="10">
        <f t="shared" si="25"/>
        <v>43</v>
      </c>
      <c r="L37" s="14" t="s">
        <v>69</v>
      </c>
      <c r="M37" s="9">
        <v>15</v>
      </c>
      <c r="N37" s="9">
        <v>13.9</v>
      </c>
      <c r="O37" s="9">
        <v>95</v>
      </c>
      <c r="P37" s="9">
        <v>94</v>
      </c>
      <c r="Q37" s="9">
        <f t="shared" si="26"/>
        <v>1.0999999999999996</v>
      </c>
      <c r="R37" s="10">
        <f t="shared" si="27"/>
        <v>1</v>
      </c>
      <c r="V37" s="14" t="s">
        <v>69</v>
      </c>
      <c r="W37" s="9">
        <v>15</v>
      </c>
      <c r="X37" s="9">
        <v>14</v>
      </c>
      <c r="Y37" s="9">
        <v>95</v>
      </c>
      <c r="Z37" s="9">
        <v>91.7</v>
      </c>
      <c r="AA37" s="9">
        <f t="shared" si="28"/>
        <v>1</v>
      </c>
      <c r="AB37" s="10">
        <f t="shared" si="29"/>
        <v>3.2999999999999972</v>
      </c>
      <c r="AG37" s="14" t="s">
        <v>69</v>
      </c>
      <c r="AH37" s="9">
        <v>15</v>
      </c>
      <c r="AI37" s="9"/>
      <c r="AJ37" s="9">
        <v>95</v>
      </c>
      <c r="AK37" s="9">
        <v>111.6</v>
      </c>
      <c r="AL37" s="9">
        <f t="shared" si="30"/>
        <v>15</v>
      </c>
      <c r="AM37" s="10">
        <f t="shared" si="31"/>
        <v>16.599999999999994</v>
      </c>
      <c r="AR37" s="14" t="s">
        <v>69</v>
      </c>
      <c r="AS37" s="9">
        <v>15</v>
      </c>
      <c r="AT37" s="9">
        <v>13.8</v>
      </c>
      <c r="AU37" s="9">
        <v>95</v>
      </c>
      <c r="AV37" s="9">
        <v>85.2</v>
      </c>
      <c r="AW37" s="9">
        <f t="shared" si="32"/>
        <v>1.1999999999999993</v>
      </c>
      <c r="AX37" s="10">
        <f t="shared" si="33"/>
        <v>9.7999999999999972</v>
      </c>
      <c r="BC37" s="14" t="s">
        <v>69</v>
      </c>
      <c r="BD37" s="9">
        <v>15</v>
      </c>
      <c r="BE37" s="9"/>
      <c r="BF37" s="9">
        <v>95</v>
      </c>
      <c r="BG37" s="9"/>
      <c r="BH37" s="9">
        <f t="shared" si="22"/>
        <v>15</v>
      </c>
      <c r="BI37" s="10">
        <f t="shared" si="34"/>
        <v>95</v>
      </c>
    </row>
    <row r="38" spans="2:61" x14ac:dyDescent="0.25">
      <c r="B38" s="14" t="s">
        <v>70</v>
      </c>
      <c r="C38" s="9">
        <v>16</v>
      </c>
      <c r="D38" s="9">
        <v>15.7</v>
      </c>
      <c r="E38" s="9">
        <v>104</v>
      </c>
      <c r="F38" s="9">
        <v>70</v>
      </c>
      <c r="G38" s="9">
        <f t="shared" si="24"/>
        <v>0.30000000000000071</v>
      </c>
      <c r="H38" s="10">
        <f t="shared" si="25"/>
        <v>34</v>
      </c>
      <c r="L38" s="14" t="s">
        <v>70</v>
      </c>
      <c r="M38" s="9">
        <v>16</v>
      </c>
      <c r="N38" s="9">
        <v>16.3</v>
      </c>
      <c r="O38" s="9">
        <v>104</v>
      </c>
      <c r="P38" s="9">
        <v>82.8</v>
      </c>
      <c r="Q38" s="9">
        <f t="shared" si="26"/>
        <v>0.30000000000000071</v>
      </c>
      <c r="R38" s="10">
        <f t="shared" si="27"/>
        <v>21.200000000000003</v>
      </c>
      <c r="V38" s="14" t="s">
        <v>70</v>
      </c>
      <c r="W38" s="9">
        <v>16</v>
      </c>
      <c r="X38" s="9">
        <v>15.2</v>
      </c>
      <c r="Y38" s="9">
        <v>104</v>
      </c>
      <c r="Z38" s="9">
        <v>91.4</v>
      </c>
      <c r="AA38" s="9">
        <f t="shared" si="28"/>
        <v>0.80000000000000071</v>
      </c>
      <c r="AB38" s="10">
        <f t="shared" si="29"/>
        <v>12.599999999999994</v>
      </c>
      <c r="AG38" s="14" t="s">
        <v>70</v>
      </c>
      <c r="AH38" s="9">
        <v>16</v>
      </c>
      <c r="AI38" s="9"/>
      <c r="AJ38" s="9">
        <v>104</v>
      </c>
      <c r="AK38" s="9">
        <v>134.30000000000001</v>
      </c>
      <c r="AL38" s="9">
        <f t="shared" si="30"/>
        <v>16</v>
      </c>
      <c r="AM38" s="10">
        <f t="shared" si="31"/>
        <v>30.300000000000011</v>
      </c>
      <c r="AR38" s="14" t="s">
        <v>70</v>
      </c>
      <c r="AS38" s="9">
        <v>16</v>
      </c>
      <c r="AT38" s="9">
        <v>15.8</v>
      </c>
      <c r="AU38" s="9">
        <v>104</v>
      </c>
      <c r="AV38" s="9">
        <v>78.5</v>
      </c>
      <c r="AW38" s="9">
        <f t="shared" si="32"/>
        <v>0.19999999999999929</v>
      </c>
      <c r="AX38" s="10">
        <f t="shared" si="33"/>
        <v>25.5</v>
      </c>
      <c r="BC38" s="14" t="s">
        <v>70</v>
      </c>
      <c r="BD38" s="9">
        <v>16</v>
      </c>
      <c r="BE38" s="9"/>
      <c r="BF38" s="9">
        <v>104</v>
      </c>
      <c r="BG38" s="9"/>
      <c r="BH38" s="9">
        <f t="shared" si="22"/>
        <v>16</v>
      </c>
      <c r="BI38" s="10">
        <f t="shared" si="34"/>
        <v>104</v>
      </c>
    </row>
    <row r="39" spans="2:61" x14ac:dyDescent="0.25">
      <c r="B39" s="14" t="s">
        <v>71</v>
      </c>
      <c r="C39" s="9">
        <v>16</v>
      </c>
      <c r="D39" s="9">
        <v>15.8</v>
      </c>
      <c r="E39" s="9">
        <v>100</v>
      </c>
      <c r="F39" s="9">
        <v>63.2</v>
      </c>
      <c r="G39" s="9">
        <f t="shared" si="24"/>
        <v>0.19999999999999929</v>
      </c>
      <c r="H39" s="10">
        <f t="shared" si="25"/>
        <v>36.799999999999997</v>
      </c>
      <c r="L39" s="14" t="s">
        <v>71</v>
      </c>
      <c r="M39" s="9">
        <v>16</v>
      </c>
      <c r="N39" s="9">
        <v>15.1</v>
      </c>
      <c r="O39" s="9">
        <v>100</v>
      </c>
      <c r="P39" s="9">
        <v>64.8</v>
      </c>
      <c r="Q39" s="9">
        <f t="shared" si="26"/>
        <v>0.90000000000000036</v>
      </c>
      <c r="R39" s="10">
        <f t="shared" si="27"/>
        <v>35.200000000000003</v>
      </c>
      <c r="V39" s="14" t="s">
        <v>71</v>
      </c>
      <c r="W39" s="9">
        <v>16</v>
      </c>
      <c r="X39" s="9">
        <v>16</v>
      </c>
      <c r="Y39" s="9">
        <v>100</v>
      </c>
      <c r="Z39" s="9">
        <v>94.3</v>
      </c>
      <c r="AA39" s="9">
        <f t="shared" si="28"/>
        <v>0</v>
      </c>
      <c r="AB39" s="10">
        <f t="shared" si="29"/>
        <v>5.7000000000000028</v>
      </c>
      <c r="AG39" s="14" t="s">
        <v>71</v>
      </c>
      <c r="AH39" s="9">
        <v>16</v>
      </c>
      <c r="AI39" s="9"/>
      <c r="AJ39" s="9">
        <v>100</v>
      </c>
      <c r="AK39" s="9">
        <v>103.8</v>
      </c>
      <c r="AL39" s="9">
        <f t="shared" si="30"/>
        <v>16</v>
      </c>
      <c r="AM39" s="10">
        <f t="shared" si="31"/>
        <v>3.7999999999999972</v>
      </c>
      <c r="AR39" s="14" t="s">
        <v>71</v>
      </c>
      <c r="AS39" s="9">
        <v>16</v>
      </c>
      <c r="AT39" s="9">
        <v>16</v>
      </c>
      <c r="AU39" s="9">
        <v>100</v>
      </c>
      <c r="AV39" s="9">
        <v>67.2</v>
      </c>
      <c r="AW39" s="9">
        <f t="shared" si="32"/>
        <v>0</v>
      </c>
      <c r="AX39" s="10">
        <f t="shared" si="33"/>
        <v>32.799999999999997</v>
      </c>
      <c r="BC39" s="14" t="s">
        <v>71</v>
      </c>
      <c r="BD39" s="9">
        <v>16</v>
      </c>
      <c r="BE39" s="9"/>
      <c r="BF39" s="9">
        <v>100</v>
      </c>
      <c r="BG39" s="9"/>
      <c r="BH39" s="9">
        <f t="shared" si="22"/>
        <v>16</v>
      </c>
      <c r="BI39" s="10">
        <f t="shared" si="34"/>
        <v>100</v>
      </c>
    </row>
    <row r="40" spans="2:61" x14ac:dyDescent="0.25">
      <c r="B40" s="14" t="s">
        <v>72</v>
      </c>
      <c r="C40" s="9">
        <v>15.6</v>
      </c>
      <c r="D40" s="9">
        <v>15.3</v>
      </c>
      <c r="E40" s="9">
        <v>110</v>
      </c>
      <c r="F40" s="9">
        <v>78.8</v>
      </c>
      <c r="G40" s="9">
        <f t="shared" si="24"/>
        <v>0.29999999999999893</v>
      </c>
      <c r="H40" s="10">
        <f t="shared" si="25"/>
        <v>31.200000000000003</v>
      </c>
      <c r="L40" s="14" t="s">
        <v>72</v>
      </c>
      <c r="M40" s="9">
        <v>15.6</v>
      </c>
      <c r="N40" s="9">
        <v>15</v>
      </c>
      <c r="O40" s="9">
        <v>110</v>
      </c>
      <c r="P40" s="9">
        <v>49.6</v>
      </c>
      <c r="Q40" s="9">
        <f t="shared" si="26"/>
        <v>0.59999999999999964</v>
      </c>
      <c r="R40" s="10">
        <f t="shared" si="27"/>
        <v>60.4</v>
      </c>
      <c r="V40" s="14" t="s">
        <v>72</v>
      </c>
      <c r="W40" s="9">
        <v>15.6</v>
      </c>
      <c r="X40" s="9">
        <v>15.2</v>
      </c>
      <c r="Y40" s="9">
        <v>110</v>
      </c>
      <c r="Z40" s="9">
        <v>96</v>
      </c>
      <c r="AA40" s="9">
        <f t="shared" si="28"/>
        <v>0.40000000000000036</v>
      </c>
      <c r="AB40" s="10">
        <f t="shared" si="29"/>
        <v>14</v>
      </c>
      <c r="AG40" s="14" t="s">
        <v>72</v>
      </c>
      <c r="AH40" s="9">
        <v>15.6</v>
      </c>
      <c r="AI40" s="9"/>
      <c r="AJ40" s="9">
        <v>110</v>
      </c>
      <c r="AK40" s="9">
        <v>137.80000000000001</v>
      </c>
      <c r="AL40" s="9">
        <f t="shared" si="30"/>
        <v>15.6</v>
      </c>
      <c r="AM40" s="10">
        <f t="shared" si="31"/>
        <v>27.800000000000011</v>
      </c>
      <c r="AR40" s="14" t="s">
        <v>72</v>
      </c>
      <c r="AS40" s="9">
        <v>15.6</v>
      </c>
      <c r="AT40" s="9">
        <v>15.2</v>
      </c>
      <c r="AU40" s="9">
        <v>110</v>
      </c>
      <c r="AV40" s="9">
        <v>64.8</v>
      </c>
      <c r="AW40" s="9">
        <f t="shared" si="32"/>
        <v>0.40000000000000036</v>
      </c>
      <c r="AX40" s="10">
        <f t="shared" si="33"/>
        <v>45.2</v>
      </c>
      <c r="BC40" s="14" t="s">
        <v>72</v>
      </c>
      <c r="BD40" s="9">
        <v>15.6</v>
      </c>
      <c r="BE40" s="9"/>
      <c r="BF40" s="9">
        <v>110</v>
      </c>
      <c r="BG40" s="9"/>
      <c r="BH40" s="9">
        <f t="shared" si="22"/>
        <v>15.6</v>
      </c>
      <c r="BI40" s="10">
        <f t="shared" si="34"/>
        <v>110</v>
      </c>
    </row>
    <row r="41" spans="2:61" x14ac:dyDescent="0.25">
      <c r="B41" s="14" t="s">
        <v>73</v>
      </c>
      <c r="C41" s="9">
        <v>15.4</v>
      </c>
      <c r="D41" s="9">
        <v>15.1</v>
      </c>
      <c r="E41" s="9">
        <v>100</v>
      </c>
      <c r="F41" s="9">
        <v>66.3</v>
      </c>
      <c r="G41" s="9">
        <f t="shared" si="24"/>
        <v>0.30000000000000071</v>
      </c>
      <c r="H41" s="10">
        <f t="shared" si="25"/>
        <v>33.700000000000003</v>
      </c>
      <c r="L41" s="14" t="s">
        <v>73</v>
      </c>
      <c r="M41" s="9">
        <v>15.4</v>
      </c>
      <c r="N41" s="9">
        <v>14.7</v>
      </c>
      <c r="O41" s="9">
        <v>100</v>
      </c>
      <c r="P41" s="9">
        <v>60</v>
      </c>
      <c r="Q41" s="9">
        <f t="shared" si="26"/>
        <v>0.70000000000000107</v>
      </c>
      <c r="R41" s="10">
        <f t="shared" si="27"/>
        <v>40</v>
      </c>
      <c r="V41" s="14" t="s">
        <v>73</v>
      </c>
      <c r="W41" s="9">
        <v>15.4</v>
      </c>
      <c r="X41" s="9">
        <v>15.2</v>
      </c>
      <c r="Y41" s="9">
        <v>100</v>
      </c>
      <c r="Z41" s="9">
        <v>96.7</v>
      </c>
      <c r="AA41" s="9">
        <f t="shared" si="28"/>
        <v>0.20000000000000107</v>
      </c>
      <c r="AB41" s="10">
        <f t="shared" si="29"/>
        <v>3.2999999999999972</v>
      </c>
      <c r="AG41" s="14" t="s">
        <v>73</v>
      </c>
      <c r="AH41" s="9">
        <v>15.4</v>
      </c>
      <c r="AI41" s="9"/>
      <c r="AJ41" s="9">
        <v>100</v>
      </c>
      <c r="AK41" s="9">
        <v>113.7</v>
      </c>
      <c r="AL41" s="9">
        <f t="shared" si="30"/>
        <v>15.4</v>
      </c>
      <c r="AM41" s="10">
        <f t="shared" si="31"/>
        <v>13.700000000000003</v>
      </c>
      <c r="AR41" s="14" t="s">
        <v>73</v>
      </c>
      <c r="AS41" s="9">
        <v>15.4</v>
      </c>
      <c r="AT41" s="9">
        <v>14.8</v>
      </c>
      <c r="AU41" s="9">
        <v>100</v>
      </c>
      <c r="AV41" s="9">
        <v>60.8</v>
      </c>
      <c r="AW41" s="9">
        <f t="shared" si="32"/>
        <v>0.59999999999999964</v>
      </c>
      <c r="AX41" s="10">
        <f t="shared" si="33"/>
        <v>39.200000000000003</v>
      </c>
      <c r="BC41" s="14" t="s">
        <v>73</v>
      </c>
      <c r="BD41" s="9">
        <v>15.4</v>
      </c>
      <c r="BE41" s="9"/>
      <c r="BF41" s="9">
        <v>100</v>
      </c>
      <c r="BG41" s="9"/>
      <c r="BH41" s="9">
        <f t="shared" si="22"/>
        <v>15.4</v>
      </c>
      <c r="BI41" s="10">
        <f t="shared" si="34"/>
        <v>100</v>
      </c>
    </row>
    <row r="42" spans="2:61" x14ac:dyDescent="0.25">
      <c r="B42" s="14" t="s">
        <v>74</v>
      </c>
      <c r="C42" s="9">
        <v>16</v>
      </c>
      <c r="D42" s="9">
        <v>16</v>
      </c>
      <c r="E42" s="9">
        <v>100</v>
      </c>
      <c r="F42" s="9">
        <v>50</v>
      </c>
      <c r="G42" s="9">
        <f t="shared" si="24"/>
        <v>0</v>
      </c>
      <c r="H42" s="10">
        <f t="shared" si="25"/>
        <v>50</v>
      </c>
      <c r="L42" s="14" t="s">
        <v>74</v>
      </c>
      <c r="M42" s="9">
        <v>16</v>
      </c>
      <c r="N42" s="9">
        <v>16</v>
      </c>
      <c r="O42" s="9">
        <v>100</v>
      </c>
      <c r="P42" s="9">
        <v>48.8</v>
      </c>
      <c r="Q42" s="9">
        <f t="shared" si="26"/>
        <v>0</v>
      </c>
      <c r="R42" s="10">
        <f t="shared" si="27"/>
        <v>51.2</v>
      </c>
      <c r="V42" s="14" t="s">
        <v>74</v>
      </c>
      <c r="W42" s="9">
        <v>16</v>
      </c>
      <c r="X42" s="9">
        <v>15.2</v>
      </c>
      <c r="Y42" s="9">
        <v>100</v>
      </c>
      <c r="Z42" s="9">
        <v>97.6</v>
      </c>
      <c r="AA42" s="9">
        <f t="shared" si="28"/>
        <v>0.80000000000000071</v>
      </c>
      <c r="AB42" s="10">
        <f t="shared" si="29"/>
        <v>2.4000000000000057</v>
      </c>
      <c r="AG42" s="14" t="s">
        <v>74</v>
      </c>
      <c r="AH42" s="9">
        <v>16</v>
      </c>
      <c r="AI42" s="9"/>
      <c r="AJ42" s="9">
        <v>100</v>
      </c>
      <c r="AK42" s="9">
        <v>122</v>
      </c>
      <c r="AL42" s="9">
        <f t="shared" si="30"/>
        <v>16</v>
      </c>
      <c r="AM42" s="10">
        <f t="shared" si="31"/>
        <v>22</v>
      </c>
      <c r="AR42" s="14" t="s">
        <v>74</v>
      </c>
      <c r="AS42" s="9">
        <v>16</v>
      </c>
      <c r="AT42" s="9">
        <v>15.8</v>
      </c>
      <c r="AU42" s="9">
        <v>100</v>
      </c>
      <c r="AV42" s="9">
        <v>80</v>
      </c>
      <c r="AW42" s="9">
        <f t="shared" si="32"/>
        <v>0.19999999999999929</v>
      </c>
      <c r="AX42" s="10">
        <f t="shared" si="33"/>
        <v>20</v>
      </c>
      <c r="BC42" s="14" t="s">
        <v>74</v>
      </c>
      <c r="BD42" s="9">
        <v>16</v>
      </c>
      <c r="BE42" s="9"/>
      <c r="BF42" s="9">
        <v>100</v>
      </c>
      <c r="BG42" s="9"/>
      <c r="BH42" s="9">
        <f t="shared" si="22"/>
        <v>16</v>
      </c>
      <c r="BI42" s="10">
        <f t="shared" si="34"/>
        <v>100</v>
      </c>
    </row>
    <row r="43" spans="2:61" x14ac:dyDescent="0.25">
      <c r="B43" s="14" t="s">
        <v>75</v>
      </c>
      <c r="C43" s="9">
        <v>12</v>
      </c>
      <c r="D43" s="9">
        <v>11.8</v>
      </c>
      <c r="E43" s="9">
        <v>96</v>
      </c>
      <c r="F43" s="9">
        <v>73.2</v>
      </c>
      <c r="G43" s="9">
        <f t="shared" si="24"/>
        <v>0.19999999999999929</v>
      </c>
      <c r="H43" s="10">
        <f t="shared" si="25"/>
        <v>22.799999999999997</v>
      </c>
      <c r="L43" s="14" t="s">
        <v>75</v>
      </c>
      <c r="M43" s="9">
        <v>12</v>
      </c>
      <c r="N43" s="9">
        <v>10.9</v>
      </c>
      <c r="O43" s="9">
        <v>96</v>
      </c>
      <c r="P43" s="9">
        <v>93.6</v>
      </c>
      <c r="Q43" s="9">
        <f t="shared" si="26"/>
        <v>1.0999999999999996</v>
      </c>
      <c r="R43" s="10">
        <f t="shared" si="27"/>
        <v>2.4000000000000057</v>
      </c>
      <c r="V43" s="14" t="s">
        <v>75</v>
      </c>
      <c r="W43" s="9">
        <v>12</v>
      </c>
      <c r="X43" s="9">
        <v>11.7</v>
      </c>
      <c r="Y43" s="9">
        <v>96</v>
      </c>
      <c r="Z43" s="9">
        <v>94.3</v>
      </c>
      <c r="AA43" s="9">
        <f t="shared" si="28"/>
        <v>0.30000000000000071</v>
      </c>
      <c r="AB43" s="10">
        <f t="shared" si="29"/>
        <v>1.7000000000000028</v>
      </c>
      <c r="AG43" s="14" t="s">
        <v>75</v>
      </c>
      <c r="AH43" s="9">
        <v>12</v>
      </c>
      <c r="AI43" s="9"/>
      <c r="AJ43" s="9">
        <v>96</v>
      </c>
      <c r="AK43" s="9">
        <v>219</v>
      </c>
      <c r="AL43" s="9">
        <f t="shared" si="30"/>
        <v>12</v>
      </c>
      <c r="AM43" s="10">
        <f t="shared" si="31"/>
        <v>123</v>
      </c>
      <c r="AR43" s="14" t="s">
        <v>75</v>
      </c>
      <c r="AS43" s="9">
        <v>12</v>
      </c>
      <c r="AT43" s="9">
        <v>11.8</v>
      </c>
      <c r="AU43" s="9">
        <v>96</v>
      </c>
      <c r="AV43" s="9">
        <v>51.6</v>
      </c>
      <c r="AW43" s="9">
        <f t="shared" si="32"/>
        <v>0.19999999999999929</v>
      </c>
      <c r="AX43" s="10">
        <f t="shared" si="33"/>
        <v>44.4</v>
      </c>
      <c r="BC43" s="14" t="s">
        <v>75</v>
      </c>
      <c r="BD43" s="9">
        <v>12</v>
      </c>
      <c r="BE43" s="9"/>
      <c r="BF43" s="9">
        <v>96</v>
      </c>
      <c r="BG43" s="9"/>
      <c r="BH43" s="9">
        <f t="shared" si="22"/>
        <v>12</v>
      </c>
      <c r="BI43" s="10">
        <f t="shared" si="34"/>
        <v>96</v>
      </c>
    </row>
    <row r="44" spans="2:61" x14ac:dyDescent="0.25">
      <c r="B44" s="14" t="s">
        <v>76</v>
      </c>
      <c r="C44" s="9">
        <v>13.6</v>
      </c>
      <c r="D44" s="9">
        <v>13</v>
      </c>
      <c r="E44" s="9">
        <v>100</v>
      </c>
      <c r="F44" s="9">
        <v>63</v>
      </c>
      <c r="G44" s="9">
        <f t="shared" si="24"/>
        <v>0.59999999999999964</v>
      </c>
      <c r="H44" s="10">
        <f t="shared" si="25"/>
        <v>37</v>
      </c>
      <c r="L44" s="14" t="s">
        <v>76</v>
      </c>
      <c r="M44" s="9">
        <v>13.6</v>
      </c>
      <c r="N44" s="9">
        <v>13.7</v>
      </c>
      <c r="O44" s="9">
        <v>100</v>
      </c>
      <c r="P44" s="9">
        <v>58.4</v>
      </c>
      <c r="Q44" s="9">
        <f t="shared" si="26"/>
        <v>9.9999999999999645E-2</v>
      </c>
      <c r="R44" s="10">
        <f t="shared" si="27"/>
        <v>41.6</v>
      </c>
      <c r="V44" s="14" t="s">
        <v>76</v>
      </c>
      <c r="W44" s="9">
        <v>13.6</v>
      </c>
      <c r="X44" s="9">
        <v>12.9</v>
      </c>
      <c r="Y44" s="9">
        <v>100</v>
      </c>
      <c r="Z44" s="9">
        <v>103.1</v>
      </c>
      <c r="AA44" s="9">
        <f t="shared" si="28"/>
        <v>0.69999999999999929</v>
      </c>
      <c r="AB44" s="10">
        <f t="shared" si="29"/>
        <v>3.0999999999999943</v>
      </c>
      <c r="AG44" s="14" t="s">
        <v>76</v>
      </c>
      <c r="AH44" s="9">
        <v>13.6</v>
      </c>
      <c r="AI44" s="9"/>
      <c r="AJ44" s="9">
        <v>100</v>
      </c>
      <c r="AK44" s="9">
        <v>150</v>
      </c>
      <c r="AL44" s="9">
        <f t="shared" si="30"/>
        <v>13.6</v>
      </c>
      <c r="AM44" s="10">
        <f t="shared" si="31"/>
        <v>50</v>
      </c>
      <c r="AR44" s="14" t="s">
        <v>76</v>
      </c>
      <c r="AS44" s="9">
        <v>13.6</v>
      </c>
      <c r="AT44" s="9">
        <v>13.4</v>
      </c>
      <c r="AU44" s="9">
        <v>100</v>
      </c>
      <c r="AV44" s="9">
        <v>62.6</v>
      </c>
      <c r="AW44" s="9">
        <f t="shared" si="32"/>
        <v>0.19999999999999929</v>
      </c>
      <c r="AX44" s="10">
        <f t="shared" si="33"/>
        <v>37.4</v>
      </c>
      <c r="BC44" s="14" t="s">
        <v>76</v>
      </c>
      <c r="BD44" s="9">
        <v>13.6</v>
      </c>
      <c r="BE44" s="9"/>
      <c r="BF44" s="9">
        <v>100</v>
      </c>
      <c r="BG44" s="9"/>
      <c r="BH44" s="9">
        <f t="shared" si="22"/>
        <v>13.6</v>
      </c>
      <c r="BI44" s="10">
        <f t="shared" si="34"/>
        <v>100</v>
      </c>
    </row>
    <row r="45" spans="2:61" x14ac:dyDescent="0.25">
      <c r="B45" s="14" t="s">
        <v>77</v>
      </c>
      <c r="C45" s="9">
        <v>13.6</v>
      </c>
      <c r="D45" s="9">
        <v>13.3</v>
      </c>
      <c r="E45" s="9">
        <v>95</v>
      </c>
      <c r="F45" s="9">
        <v>58</v>
      </c>
      <c r="G45" s="9">
        <f t="shared" si="24"/>
        <v>0.29999999999999893</v>
      </c>
      <c r="H45" s="10">
        <f t="shared" si="25"/>
        <v>37</v>
      </c>
      <c r="L45" s="14" t="s">
        <v>77</v>
      </c>
      <c r="M45" s="9">
        <v>13.6</v>
      </c>
      <c r="N45" s="9">
        <v>13.6</v>
      </c>
      <c r="O45" s="9">
        <v>95</v>
      </c>
      <c r="P45" s="9">
        <v>49.6</v>
      </c>
      <c r="Q45" s="9">
        <f t="shared" si="26"/>
        <v>0</v>
      </c>
      <c r="R45" s="10">
        <f t="shared" si="27"/>
        <v>45.4</v>
      </c>
      <c r="V45" s="14" t="s">
        <v>77</v>
      </c>
      <c r="W45" s="9">
        <v>13.6</v>
      </c>
      <c r="X45" s="9">
        <v>12.9</v>
      </c>
      <c r="Y45" s="9">
        <v>95</v>
      </c>
      <c r="Z45" s="9">
        <v>93.8</v>
      </c>
      <c r="AA45" s="9">
        <f t="shared" si="28"/>
        <v>0.69999999999999929</v>
      </c>
      <c r="AB45" s="10">
        <f t="shared" si="29"/>
        <v>1.2000000000000028</v>
      </c>
      <c r="AG45" s="14" t="s">
        <v>77</v>
      </c>
      <c r="AH45" s="9">
        <v>13.6</v>
      </c>
      <c r="AI45" s="9"/>
      <c r="AJ45" s="9">
        <v>95</v>
      </c>
      <c r="AK45" s="9">
        <v>117</v>
      </c>
      <c r="AL45" s="9">
        <f t="shared" si="30"/>
        <v>13.6</v>
      </c>
      <c r="AM45" s="10">
        <f t="shared" si="31"/>
        <v>22</v>
      </c>
      <c r="AR45" s="14" t="s">
        <v>77</v>
      </c>
      <c r="AS45" s="9">
        <v>13.6</v>
      </c>
      <c r="AT45" s="9">
        <v>13.8</v>
      </c>
      <c r="AU45" s="9">
        <v>95</v>
      </c>
      <c r="AV45" s="9">
        <v>74.5</v>
      </c>
      <c r="AW45" s="9">
        <f t="shared" si="32"/>
        <v>0.20000000000000107</v>
      </c>
      <c r="AX45" s="10">
        <f t="shared" si="33"/>
        <v>20.5</v>
      </c>
      <c r="BC45" s="14" t="s">
        <v>77</v>
      </c>
      <c r="BD45" s="9">
        <v>13.6</v>
      </c>
      <c r="BE45" s="9"/>
      <c r="BF45" s="9">
        <v>95</v>
      </c>
      <c r="BG45" s="9"/>
      <c r="BH45" s="9">
        <f t="shared" si="22"/>
        <v>13.6</v>
      </c>
      <c r="BI45" s="10">
        <f t="shared" si="34"/>
        <v>95</v>
      </c>
    </row>
    <row r="46" spans="2:61" x14ac:dyDescent="0.25">
      <c r="B46" s="14" t="s">
        <v>78</v>
      </c>
      <c r="C46" s="9">
        <v>14</v>
      </c>
      <c r="D46" s="9">
        <v>13.8</v>
      </c>
      <c r="E46" s="9">
        <v>97</v>
      </c>
      <c r="F46" s="9">
        <v>60.8</v>
      </c>
      <c r="G46" s="9">
        <f t="shared" si="24"/>
        <v>0.19999999999999929</v>
      </c>
      <c r="H46" s="10">
        <f t="shared" si="25"/>
        <v>36.200000000000003</v>
      </c>
      <c r="L46" s="14" t="s">
        <v>78</v>
      </c>
      <c r="M46" s="9">
        <v>14</v>
      </c>
      <c r="N46" s="9">
        <v>13.9</v>
      </c>
      <c r="O46" s="9">
        <v>97</v>
      </c>
      <c r="P46" s="9">
        <v>54</v>
      </c>
      <c r="Q46" s="9">
        <f t="shared" si="26"/>
        <v>9.9999999999999645E-2</v>
      </c>
      <c r="R46" s="10">
        <f t="shared" si="27"/>
        <v>43</v>
      </c>
      <c r="V46" s="14" t="s">
        <v>78</v>
      </c>
      <c r="W46" s="9">
        <v>14</v>
      </c>
      <c r="X46" s="9">
        <v>13.5</v>
      </c>
      <c r="Y46" s="9">
        <v>97</v>
      </c>
      <c r="Z46" s="9">
        <v>94.9</v>
      </c>
      <c r="AA46" s="9">
        <f t="shared" si="28"/>
        <v>0.5</v>
      </c>
      <c r="AB46" s="10">
        <f t="shared" si="29"/>
        <v>2.0999999999999943</v>
      </c>
      <c r="AG46" s="14" t="s">
        <v>78</v>
      </c>
      <c r="AH46" s="9">
        <v>14</v>
      </c>
      <c r="AI46" s="9"/>
      <c r="AJ46" s="9">
        <v>97</v>
      </c>
      <c r="AK46" s="9">
        <v>93</v>
      </c>
      <c r="AL46" s="9">
        <f t="shared" si="30"/>
        <v>14</v>
      </c>
      <c r="AM46" s="10">
        <f t="shared" si="31"/>
        <v>4</v>
      </c>
      <c r="AR46" s="14" t="s">
        <v>78</v>
      </c>
      <c r="AS46" s="9">
        <v>14</v>
      </c>
      <c r="AT46" s="9">
        <v>13.4</v>
      </c>
      <c r="AU46" s="9">
        <v>97</v>
      </c>
      <c r="AV46" s="9">
        <v>56</v>
      </c>
      <c r="AW46" s="9">
        <f t="shared" si="32"/>
        <v>0.59999999999999964</v>
      </c>
      <c r="AX46" s="10">
        <f t="shared" si="33"/>
        <v>41</v>
      </c>
      <c r="BC46" s="14" t="s">
        <v>78</v>
      </c>
      <c r="BD46" s="9">
        <v>14</v>
      </c>
      <c r="BE46" s="9"/>
      <c r="BF46" s="9">
        <v>97</v>
      </c>
      <c r="BG46" s="9"/>
      <c r="BH46" s="9">
        <f t="shared" si="22"/>
        <v>14</v>
      </c>
      <c r="BI46" s="10">
        <f t="shared" si="34"/>
        <v>97</v>
      </c>
    </row>
    <row r="47" spans="2:61" x14ac:dyDescent="0.25">
      <c r="B47" s="14" t="s">
        <v>79</v>
      </c>
      <c r="C47" s="9">
        <v>12.6</v>
      </c>
      <c r="D47" s="9">
        <v>12</v>
      </c>
      <c r="E47" s="9">
        <v>100</v>
      </c>
      <c r="F47" s="9">
        <v>74.7</v>
      </c>
      <c r="G47" s="9">
        <f t="shared" si="24"/>
        <v>0.59999999999999964</v>
      </c>
      <c r="H47" s="10">
        <f t="shared" si="25"/>
        <v>25.299999999999997</v>
      </c>
      <c r="L47" s="14" t="s">
        <v>79</v>
      </c>
      <c r="M47" s="9">
        <v>12.6</v>
      </c>
      <c r="N47" s="9">
        <v>12.9</v>
      </c>
      <c r="O47" s="9">
        <v>100</v>
      </c>
      <c r="P47" s="9">
        <v>59.2</v>
      </c>
      <c r="Q47" s="9">
        <f t="shared" si="26"/>
        <v>0.30000000000000071</v>
      </c>
      <c r="R47" s="10">
        <f t="shared" si="27"/>
        <v>40.799999999999997</v>
      </c>
      <c r="V47" s="14" t="s">
        <v>79</v>
      </c>
      <c r="W47" s="9">
        <v>12.6</v>
      </c>
      <c r="X47" s="9">
        <v>11.7</v>
      </c>
      <c r="Y47" s="9">
        <v>100</v>
      </c>
      <c r="Z47" s="9">
        <v>94.6</v>
      </c>
      <c r="AA47" s="9">
        <f t="shared" si="28"/>
        <v>0.90000000000000036</v>
      </c>
      <c r="AB47" s="10">
        <f t="shared" si="29"/>
        <v>5.4000000000000057</v>
      </c>
      <c r="AG47" s="14" t="s">
        <v>79</v>
      </c>
      <c r="AH47" s="9">
        <v>12.6</v>
      </c>
      <c r="AI47" s="9"/>
      <c r="AJ47" s="9">
        <v>100</v>
      </c>
      <c r="AK47" s="9">
        <v>238</v>
      </c>
      <c r="AL47" s="9">
        <f t="shared" si="30"/>
        <v>12.6</v>
      </c>
      <c r="AM47" s="10">
        <f t="shared" si="31"/>
        <v>138</v>
      </c>
      <c r="AR47" s="14" t="s">
        <v>79</v>
      </c>
      <c r="AS47" s="9">
        <v>12.6</v>
      </c>
      <c r="AT47" s="9">
        <v>12</v>
      </c>
      <c r="AU47" s="9">
        <v>100</v>
      </c>
      <c r="AV47" s="9">
        <v>87.2</v>
      </c>
      <c r="AW47" s="9">
        <f t="shared" si="32"/>
        <v>0.59999999999999964</v>
      </c>
      <c r="AX47" s="10">
        <f t="shared" si="33"/>
        <v>12.799999999999997</v>
      </c>
      <c r="BC47" s="14" t="s">
        <v>79</v>
      </c>
      <c r="BD47" s="9">
        <v>12.6</v>
      </c>
      <c r="BE47" s="9"/>
      <c r="BF47" s="9">
        <v>100</v>
      </c>
      <c r="BG47" s="9"/>
      <c r="BH47" s="9">
        <f t="shared" si="22"/>
        <v>12.6</v>
      </c>
      <c r="BI47" s="10">
        <f t="shared" si="34"/>
        <v>100</v>
      </c>
    </row>
    <row r="48" spans="2:61" x14ac:dyDescent="0.25">
      <c r="B48" s="14" t="s">
        <v>80</v>
      </c>
      <c r="C48" s="9">
        <v>14.4</v>
      </c>
      <c r="D48" s="9">
        <v>14.2</v>
      </c>
      <c r="E48" s="9">
        <v>110</v>
      </c>
      <c r="F48" s="9">
        <v>68.099999999999994</v>
      </c>
      <c r="G48" s="9">
        <f t="shared" si="24"/>
        <v>0.20000000000000107</v>
      </c>
      <c r="H48" s="10">
        <f t="shared" si="25"/>
        <v>41.900000000000006</v>
      </c>
      <c r="L48" s="14" t="s">
        <v>80</v>
      </c>
      <c r="M48" s="9">
        <v>14.4</v>
      </c>
      <c r="N48" s="9">
        <v>13.8</v>
      </c>
      <c r="O48" s="9">
        <v>110</v>
      </c>
      <c r="P48" s="9">
        <v>81.599999999999994</v>
      </c>
      <c r="Q48" s="9">
        <f t="shared" si="26"/>
        <v>0.59999999999999964</v>
      </c>
      <c r="R48" s="10">
        <f t="shared" si="27"/>
        <v>28.400000000000006</v>
      </c>
      <c r="V48" s="14" t="s">
        <v>80</v>
      </c>
      <c r="W48" s="9">
        <v>14.4</v>
      </c>
      <c r="X48" s="9">
        <v>13.5</v>
      </c>
      <c r="Y48" s="9">
        <v>110</v>
      </c>
      <c r="Z48" s="9">
        <v>94</v>
      </c>
      <c r="AA48" s="9">
        <f t="shared" si="28"/>
        <v>0.90000000000000036</v>
      </c>
      <c r="AB48" s="10">
        <f t="shared" si="29"/>
        <v>16</v>
      </c>
      <c r="AG48" s="14" t="s">
        <v>80</v>
      </c>
      <c r="AH48" s="9">
        <v>14.4</v>
      </c>
      <c r="AI48" s="9"/>
      <c r="AJ48" s="9">
        <v>110</v>
      </c>
      <c r="AK48" s="9">
        <v>144</v>
      </c>
      <c r="AL48" s="9">
        <f t="shared" si="30"/>
        <v>14.4</v>
      </c>
      <c r="AM48" s="10">
        <f t="shared" si="31"/>
        <v>34</v>
      </c>
      <c r="AR48" s="14" t="s">
        <v>80</v>
      </c>
      <c r="AS48" s="9">
        <v>14.4</v>
      </c>
      <c r="AT48" s="9">
        <v>15.2</v>
      </c>
      <c r="AU48" s="9">
        <v>110</v>
      </c>
      <c r="AV48" s="9">
        <v>110.8</v>
      </c>
      <c r="AW48" s="9">
        <f t="shared" si="32"/>
        <v>0.79999999999999893</v>
      </c>
      <c r="AX48" s="10">
        <f t="shared" si="33"/>
        <v>0.79999999999999716</v>
      </c>
      <c r="BC48" s="14" t="s">
        <v>80</v>
      </c>
      <c r="BD48" s="9">
        <v>14.4</v>
      </c>
      <c r="BE48" s="9"/>
      <c r="BF48" s="9">
        <v>110</v>
      </c>
      <c r="BG48" s="9"/>
      <c r="BH48" s="9">
        <f t="shared" si="22"/>
        <v>14.4</v>
      </c>
      <c r="BI48" s="10">
        <f t="shared" si="34"/>
        <v>110</v>
      </c>
    </row>
    <row r="49" spans="2:61" x14ac:dyDescent="0.25">
      <c r="B49" s="14" t="s">
        <v>81</v>
      </c>
      <c r="C49" s="9">
        <v>15.2</v>
      </c>
      <c r="D49" s="9">
        <v>15</v>
      </c>
      <c r="E49" s="9">
        <v>106</v>
      </c>
      <c r="F49" s="9">
        <v>55.1</v>
      </c>
      <c r="G49" s="9">
        <f t="shared" si="24"/>
        <v>0.19999999999999929</v>
      </c>
      <c r="H49" s="10">
        <f t="shared" si="25"/>
        <v>50.9</v>
      </c>
      <c r="L49" s="14" t="s">
        <v>81</v>
      </c>
      <c r="M49" s="9">
        <v>15.2</v>
      </c>
      <c r="N49" s="9">
        <v>14.7</v>
      </c>
      <c r="O49" s="9">
        <v>106</v>
      </c>
      <c r="P49" s="9">
        <v>61.6</v>
      </c>
      <c r="Q49" s="9">
        <f t="shared" si="26"/>
        <v>0.5</v>
      </c>
      <c r="R49" s="10">
        <f t="shared" si="27"/>
        <v>44.4</v>
      </c>
      <c r="V49" s="14" t="s">
        <v>81</v>
      </c>
      <c r="W49" s="9">
        <v>15.2</v>
      </c>
      <c r="X49" s="9">
        <v>13.8</v>
      </c>
      <c r="Y49" s="9">
        <v>106</v>
      </c>
      <c r="Z49" s="9">
        <v>87.6</v>
      </c>
      <c r="AA49" s="9">
        <f t="shared" si="28"/>
        <v>1.3999999999999986</v>
      </c>
      <c r="AB49" s="10">
        <f t="shared" si="29"/>
        <v>18.400000000000006</v>
      </c>
      <c r="AG49" s="14" t="s">
        <v>81</v>
      </c>
      <c r="AH49" s="9">
        <v>15.2</v>
      </c>
      <c r="AI49" s="9"/>
      <c r="AJ49" s="9">
        <v>106</v>
      </c>
      <c r="AK49" s="9">
        <v>261</v>
      </c>
      <c r="AL49" s="9">
        <f t="shared" si="30"/>
        <v>15.2</v>
      </c>
      <c r="AM49" s="10">
        <f t="shared" si="31"/>
        <v>155</v>
      </c>
      <c r="AR49" s="14" t="s">
        <v>81</v>
      </c>
      <c r="AS49" s="9">
        <v>15.2</v>
      </c>
      <c r="AT49" s="9">
        <v>15.2</v>
      </c>
      <c r="AU49" s="9">
        <v>106</v>
      </c>
      <c r="AV49" s="9">
        <v>57</v>
      </c>
      <c r="AW49" s="9">
        <f t="shared" si="32"/>
        <v>0</v>
      </c>
      <c r="AX49" s="10">
        <f t="shared" si="33"/>
        <v>49</v>
      </c>
      <c r="BC49" s="14" t="s">
        <v>81</v>
      </c>
      <c r="BD49" s="9">
        <v>15.2</v>
      </c>
      <c r="BE49" s="9"/>
      <c r="BF49" s="9">
        <v>106</v>
      </c>
      <c r="BG49" s="9"/>
      <c r="BH49" s="9">
        <f t="shared" si="22"/>
        <v>15.2</v>
      </c>
      <c r="BI49" s="10">
        <f t="shared" si="34"/>
        <v>106</v>
      </c>
    </row>
    <row r="50" spans="2:61" x14ac:dyDescent="0.25">
      <c r="B50" s="14" t="s">
        <v>82</v>
      </c>
      <c r="C50" s="9">
        <v>15.6</v>
      </c>
      <c r="D50" s="9">
        <v>15.1</v>
      </c>
      <c r="E50" s="9">
        <v>108</v>
      </c>
      <c r="F50" s="9">
        <v>78.3</v>
      </c>
      <c r="G50" s="9">
        <f t="shared" si="24"/>
        <v>0.5</v>
      </c>
      <c r="H50" s="10">
        <f t="shared" si="25"/>
        <v>29.700000000000003</v>
      </c>
      <c r="L50" s="14" t="s">
        <v>82</v>
      </c>
      <c r="M50" s="9">
        <v>15.6</v>
      </c>
      <c r="N50" s="9">
        <v>14.8</v>
      </c>
      <c r="O50" s="9">
        <v>108</v>
      </c>
      <c r="P50" s="9">
        <v>60.8</v>
      </c>
      <c r="Q50" s="9">
        <f t="shared" si="26"/>
        <v>0.79999999999999893</v>
      </c>
      <c r="R50" s="10">
        <f t="shared" si="27"/>
        <v>47.2</v>
      </c>
      <c r="V50" s="14" t="s">
        <v>82</v>
      </c>
      <c r="W50" s="9">
        <v>15.6</v>
      </c>
      <c r="X50" s="9">
        <v>13.8</v>
      </c>
      <c r="Y50" s="9">
        <v>108</v>
      </c>
      <c r="Z50" s="9">
        <v>87.6</v>
      </c>
      <c r="AA50" s="9">
        <f t="shared" si="28"/>
        <v>1.7999999999999989</v>
      </c>
      <c r="AB50" s="10">
        <f t="shared" si="29"/>
        <v>20.400000000000006</v>
      </c>
      <c r="AG50" s="14" t="s">
        <v>82</v>
      </c>
      <c r="AH50" s="9">
        <v>15.6</v>
      </c>
      <c r="AI50" s="9"/>
      <c r="AJ50" s="9">
        <v>108</v>
      </c>
      <c r="AK50" s="9">
        <v>124</v>
      </c>
      <c r="AL50" s="9">
        <f t="shared" si="30"/>
        <v>15.6</v>
      </c>
      <c r="AM50" s="10">
        <f t="shared" si="31"/>
        <v>16</v>
      </c>
      <c r="AR50" s="14" t="s">
        <v>82</v>
      </c>
      <c r="AS50" s="9">
        <v>15.6</v>
      </c>
      <c r="AT50" s="9">
        <v>15.4</v>
      </c>
      <c r="AU50" s="9">
        <v>108</v>
      </c>
      <c r="AV50" s="9">
        <v>81.2</v>
      </c>
      <c r="AW50" s="9">
        <f t="shared" si="32"/>
        <v>0.19999999999999929</v>
      </c>
      <c r="AX50" s="10">
        <f t="shared" si="33"/>
        <v>26.799999999999997</v>
      </c>
      <c r="BC50" s="14" t="s">
        <v>82</v>
      </c>
      <c r="BD50" s="9">
        <v>15.6</v>
      </c>
      <c r="BE50" s="9"/>
      <c r="BF50" s="9">
        <v>108</v>
      </c>
      <c r="BG50" s="9"/>
      <c r="BH50" s="9">
        <f t="shared" si="22"/>
        <v>15.6</v>
      </c>
      <c r="BI50" s="10">
        <f t="shared" si="34"/>
        <v>108</v>
      </c>
    </row>
    <row r="51" spans="2:61" x14ac:dyDescent="0.25">
      <c r="B51" s="14" t="s">
        <v>83</v>
      </c>
      <c r="C51" s="9">
        <v>15.8</v>
      </c>
      <c r="D51" s="9">
        <v>15.1</v>
      </c>
      <c r="E51" s="9">
        <v>110</v>
      </c>
      <c r="F51" s="9">
        <v>83.2</v>
      </c>
      <c r="G51" s="9">
        <f t="shared" si="24"/>
        <v>0.70000000000000107</v>
      </c>
      <c r="H51" s="10">
        <f t="shared" si="25"/>
        <v>26.799999999999997</v>
      </c>
      <c r="L51" s="14" t="s">
        <v>83</v>
      </c>
      <c r="M51" s="9">
        <v>15.8</v>
      </c>
      <c r="N51" s="9">
        <v>14.8</v>
      </c>
      <c r="O51" s="9">
        <v>110</v>
      </c>
      <c r="P51" s="9">
        <v>92.8</v>
      </c>
      <c r="Q51" s="9">
        <f t="shared" si="26"/>
        <v>1</v>
      </c>
      <c r="R51" s="10">
        <f t="shared" si="27"/>
        <v>17.200000000000003</v>
      </c>
      <c r="V51" s="14" t="s">
        <v>83</v>
      </c>
      <c r="W51" s="9">
        <v>15.8</v>
      </c>
      <c r="X51" s="9">
        <v>12</v>
      </c>
      <c r="Y51" s="9">
        <v>110</v>
      </c>
      <c r="Z51" s="9">
        <v>98.1</v>
      </c>
      <c r="AA51" s="9">
        <f t="shared" si="28"/>
        <v>3.8000000000000007</v>
      </c>
      <c r="AB51" s="10">
        <f t="shared" si="29"/>
        <v>11.900000000000006</v>
      </c>
      <c r="AG51" s="14" t="s">
        <v>83</v>
      </c>
      <c r="AH51" s="9">
        <v>15.8</v>
      </c>
      <c r="AI51" s="9"/>
      <c r="AJ51" s="9">
        <v>110</v>
      </c>
      <c r="AK51" s="9">
        <v>143</v>
      </c>
      <c r="AL51" s="9">
        <f t="shared" si="30"/>
        <v>15.8</v>
      </c>
      <c r="AM51" s="10">
        <f t="shared" si="31"/>
        <v>33</v>
      </c>
      <c r="AR51" s="14" t="s">
        <v>83</v>
      </c>
      <c r="AS51" s="9">
        <v>15.8</v>
      </c>
      <c r="AT51" s="9">
        <v>15.5</v>
      </c>
      <c r="AU51" s="9">
        <v>110</v>
      </c>
      <c r="AV51" s="9">
        <v>90.4</v>
      </c>
      <c r="AW51" s="9">
        <f t="shared" si="32"/>
        <v>0.30000000000000071</v>
      </c>
      <c r="AX51" s="10">
        <f t="shared" si="33"/>
        <v>19.599999999999994</v>
      </c>
      <c r="BC51" s="14" t="s">
        <v>83</v>
      </c>
      <c r="BD51" s="9">
        <v>15.8</v>
      </c>
      <c r="BE51" s="9"/>
      <c r="BF51" s="9">
        <v>110</v>
      </c>
      <c r="BG51" s="9"/>
      <c r="BH51" s="9">
        <f t="shared" si="22"/>
        <v>15.8</v>
      </c>
      <c r="BI51" s="10">
        <f t="shared" si="34"/>
        <v>110</v>
      </c>
    </row>
    <row r="52" spans="2:61" x14ac:dyDescent="0.25">
      <c r="B52" s="14" t="s">
        <v>84</v>
      </c>
      <c r="C52" s="9">
        <v>16</v>
      </c>
      <c r="D52" s="9">
        <v>16</v>
      </c>
      <c r="E52" s="9">
        <v>110</v>
      </c>
      <c r="F52" s="9">
        <v>56.1</v>
      </c>
      <c r="G52" s="9">
        <f t="shared" si="24"/>
        <v>0</v>
      </c>
      <c r="H52" s="10">
        <f t="shared" si="25"/>
        <v>53.9</v>
      </c>
      <c r="L52" s="14" t="s">
        <v>84</v>
      </c>
      <c r="M52" s="9">
        <v>16</v>
      </c>
      <c r="N52" s="9">
        <v>15.4</v>
      </c>
      <c r="O52" s="9">
        <v>110</v>
      </c>
      <c r="P52" s="9">
        <v>62</v>
      </c>
      <c r="Q52" s="9">
        <f t="shared" si="26"/>
        <v>0.59999999999999964</v>
      </c>
      <c r="R52" s="10">
        <f t="shared" si="27"/>
        <v>48</v>
      </c>
      <c r="V52" s="14" t="s">
        <v>84</v>
      </c>
      <c r="W52" s="9">
        <v>16</v>
      </c>
      <c r="X52" s="9">
        <v>12.3</v>
      </c>
      <c r="Y52" s="9">
        <v>110</v>
      </c>
      <c r="Z52" s="9">
        <v>92</v>
      </c>
      <c r="AA52" s="9">
        <f t="shared" si="28"/>
        <v>3.6999999999999993</v>
      </c>
      <c r="AB52" s="10">
        <f t="shared" si="29"/>
        <v>18</v>
      </c>
      <c r="AG52" s="14" t="s">
        <v>84</v>
      </c>
      <c r="AH52" s="9">
        <v>16</v>
      </c>
      <c r="AI52" s="9"/>
      <c r="AJ52" s="9">
        <v>110</v>
      </c>
      <c r="AK52" s="9">
        <v>117</v>
      </c>
      <c r="AL52" s="9">
        <f t="shared" si="30"/>
        <v>16</v>
      </c>
      <c r="AM52" s="10">
        <f t="shared" si="31"/>
        <v>7</v>
      </c>
      <c r="AR52" s="14" t="s">
        <v>84</v>
      </c>
      <c r="AS52" s="9">
        <v>16</v>
      </c>
      <c r="AT52" s="9">
        <v>15.6</v>
      </c>
      <c r="AU52" s="9">
        <v>110</v>
      </c>
      <c r="AV52" s="9">
        <v>77.599999999999994</v>
      </c>
      <c r="AW52" s="9">
        <f t="shared" si="32"/>
        <v>0.40000000000000036</v>
      </c>
      <c r="AX52" s="10">
        <f t="shared" si="33"/>
        <v>32.400000000000006</v>
      </c>
      <c r="BC52" s="14" t="s">
        <v>84</v>
      </c>
      <c r="BD52" s="9">
        <v>16</v>
      </c>
      <c r="BE52" s="9"/>
      <c r="BF52" s="9">
        <v>110</v>
      </c>
      <c r="BG52" s="9"/>
      <c r="BH52" s="9">
        <f t="shared" si="22"/>
        <v>16</v>
      </c>
      <c r="BI52" s="10">
        <f t="shared" si="34"/>
        <v>110</v>
      </c>
    </row>
    <row r="53" spans="2:61" x14ac:dyDescent="0.25">
      <c r="B53" s="14" t="s">
        <v>85</v>
      </c>
      <c r="C53" s="9">
        <v>16</v>
      </c>
      <c r="D53" s="9">
        <v>14.1</v>
      </c>
      <c r="E53" s="9">
        <v>110</v>
      </c>
      <c r="F53" s="9">
        <v>65.7</v>
      </c>
      <c r="G53" s="9">
        <f t="shared" si="24"/>
        <v>1.9000000000000004</v>
      </c>
      <c r="H53" s="10">
        <f t="shared" si="25"/>
        <v>44.3</v>
      </c>
      <c r="L53" s="14" t="s">
        <v>85</v>
      </c>
      <c r="M53" s="9">
        <v>16</v>
      </c>
      <c r="N53" s="9">
        <v>15.2</v>
      </c>
      <c r="O53" s="9">
        <v>110</v>
      </c>
      <c r="P53" s="9">
        <v>62.8</v>
      </c>
      <c r="Q53" s="9">
        <f t="shared" si="26"/>
        <v>0.80000000000000071</v>
      </c>
      <c r="R53" s="10">
        <f t="shared" si="27"/>
        <v>47.2</v>
      </c>
      <c r="V53" s="14" t="s">
        <v>85</v>
      </c>
      <c r="W53" s="9">
        <v>16</v>
      </c>
      <c r="X53" s="9">
        <v>11.7</v>
      </c>
      <c r="Y53" s="9">
        <v>110</v>
      </c>
      <c r="Z53" s="9">
        <v>92</v>
      </c>
      <c r="AA53" s="9">
        <f t="shared" si="28"/>
        <v>4.3000000000000007</v>
      </c>
      <c r="AB53" s="10">
        <f t="shared" si="29"/>
        <v>18</v>
      </c>
      <c r="AG53" s="14" t="s">
        <v>85</v>
      </c>
      <c r="AH53" s="9">
        <v>16</v>
      </c>
      <c r="AI53" s="9"/>
      <c r="AJ53" s="9">
        <v>110</v>
      </c>
      <c r="AK53" s="9">
        <v>283</v>
      </c>
      <c r="AL53" s="9">
        <f t="shared" si="30"/>
        <v>16</v>
      </c>
      <c r="AM53" s="10">
        <f t="shared" si="31"/>
        <v>173</v>
      </c>
      <c r="AR53" s="14" t="s">
        <v>85</v>
      </c>
      <c r="AS53" s="9">
        <v>16</v>
      </c>
      <c r="AT53" s="9">
        <v>16</v>
      </c>
      <c r="AU53" s="9">
        <v>110</v>
      </c>
      <c r="AV53" s="9">
        <v>59.9</v>
      </c>
      <c r="AW53" s="9">
        <f t="shared" si="32"/>
        <v>0</v>
      </c>
      <c r="AX53" s="10">
        <f t="shared" si="33"/>
        <v>50.1</v>
      </c>
      <c r="BC53" s="14" t="s">
        <v>85</v>
      </c>
      <c r="BD53" s="9">
        <v>16</v>
      </c>
      <c r="BE53" s="9"/>
      <c r="BF53" s="9">
        <v>110</v>
      </c>
      <c r="BG53" s="9"/>
      <c r="BH53" s="9">
        <f t="shared" si="22"/>
        <v>16</v>
      </c>
      <c r="BI53" s="10">
        <f t="shared" si="34"/>
        <v>110</v>
      </c>
    </row>
    <row r="54" spans="2:61" x14ac:dyDescent="0.25">
      <c r="B54" s="14" t="s">
        <v>86</v>
      </c>
      <c r="C54" s="9">
        <v>16</v>
      </c>
      <c r="D54" s="9">
        <v>16</v>
      </c>
      <c r="E54" s="9">
        <v>112</v>
      </c>
      <c r="F54" s="9">
        <v>51.9</v>
      </c>
      <c r="G54" s="9">
        <f t="shared" si="24"/>
        <v>0</v>
      </c>
      <c r="H54" s="10">
        <f t="shared" si="25"/>
        <v>60.1</v>
      </c>
      <c r="L54" s="14" t="s">
        <v>86</v>
      </c>
      <c r="M54" s="9">
        <v>16</v>
      </c>
      <c r="N54" s="9">
        <v>16.600000000000001</v>
      </c>
      <c r="O54" s="9">
        <v>112</v>
      </c>
      <c r="P54" s="9">
        <v>48.8</v>
      </c>
      <c r="Q54" s="9">
        <f t="shared" si="26"/>
        <v>0.60000000000000142</v>
      </c>
      <c r="R54" s="10">
        <f t="shared" si="27"/>
        <v>63.2</v>
      </c>
      <c r="V54" s="14" t="s">
        <v>86</v>
      </c>
      <c r="W54" s="9">
        <v>16</v>
      </c>
      <c r="X54" s="9">
        <v>14</v>
      </c>
      <c r="Y54" s="9">
        <v>112</v>
      </c>
      <c r="Z54" s="9">
        <v>87.3</v>
      </c>
      <c r="AA54" s="9">
        <f t="shared" si="28"/>
        <v>2</v>
      </c>
      <c r="AB54" s="10">
        <f t="shared" si="29"/>
        <v>24.700000000000003</v>
      </c>
      <c r="AG54" s="14" t="s">
        <v>86</v>
      </c>
      <c r="AH54" s="9">
        <v>16</v>
      </c>
      <c r="AI54" s="9"/>
      <c r="AJ54" s="9">
        <v>112</v>
      </c>
      <c r="AK54" s="9">
        <v>111.5</v>
      </c>
      <c r="AL54" s="9">
        <f t="shared" si="30"/>
        <v>16</v>
      </c>
      <c r="AM54" s="10">
        <f t="shared" si="31"/>
        <v>0.5</v>
      </c>
      <c r="AR54" s="14" t="s">
        <v>86</v>
      </c>
      <c r="AS54" s="9">
        <v>16</v>
      </c>
      <c r="AT54" s="9">
        <v>15.8</v>
      </c>
      <c r="AU54" s="9">
        <v>112</v>
      </c>
      <c r="AV54" s="9">
        <v>58.8</v>
      </c>
      <c r="AW54" s="9">
        <f t="shared" si="32"/>
        <v>0.19999999999999929</v>
      </c>
      <c r="AX54" s="10">
        <f t="shared" si="33"/>
        <v>53.2</v>
      </c>
      <c r="BC54" s="14" t="s">
        <v>86</v>
      </c>
      <c r="BD54" s="9">
        <v>16</v>
      </c>
      <c r="BE54" s="9"/>
      <c r="BF54" s="9">
        <v>112</v>
      </c>
      <c r="BG54" s="9"/>
      <c r="BH54" s="9">
        <f t="shared" si="22"/>
        <v>16</v>
      </c>
      <c r="BI54" s="10">
        <f t="shared" si="34"/>
        <v>112</v>
      </c>
    </row>
    <row r="55" spans="2:61" x14ac:dyDescent="0.25">
      <c r="B55" s="14" t="s">
        <v>87</v>
      </c>
      <c r="C55" s="9">
        <v>16</v>
      </c>
      <c r="D55" s="9">
        <v>16</v>
      </c>
      <c r="E55" s="9">
        <v>111</v>
      </c>
      <c r="F55" s="9">
        <v>68.2</v>
      </c>
      <c r="G55" s="9">
        <f t="shared" si="24"/>
        <v>0</v>
      </c>
      <c r="H55" s="10">
        <f t="shared" si="25"/>
        <v>42.8</v>
      </c>
      <c r="L55" s="14" t="s">
        <v>87</v>
      </c>
      <c r="M55" s="9">
        <v>16</v>
      </c>
      <c r="N55" s="9">
        <v>16.7</v>
      </c>
      <c r="O55" s="9">
        <v>111</v>
      </c>
      <c r="P55" s="9">
        <v>48.4</v>
      </c>
      <c r="Q55" s="9">
        <f t="shared" si="26"/>
        <v>0.69999999999999929</v>
      </c>
      <c r="R55" s="10">
        <f t="shared" si="27"/>
        <v>62.6</v>
      </c>
      <c r="V55" s="14" t="s">
        <v>87</v>
      </c>
      <c r="W55" s="9">
        <v>16</v>
      </c>
      <c r="X55" s="9">
        <v>14.9</v>
      </c>
      <c r="Y55" s="9">
        <v>111</v>
      </c>
      <c r="Z55" s="9">
        <v>91.1</v>
      </c>
      <c r="AA55" s="9">
        <f t="shared" si="28"/>
        <v>1.0999999999999996</v>
      </c>
      <c r="AB55" s="10">
        <f t="shared" si="29"/>
        <v>19.900000000000006</v>
      </c>
      <c r="AG55" s="14" t="s">
        <v>87</v>
      </c>
      <c r="AH55" s="9">
        <v>16</v>
      </c>
      <c r="AI55" s="9"/>
      <c r="AJ55" s="9">
        <v>111</v>
      </c>
      <c r="AK55" s="9">
        <v>111.1</v>
      </c>
      <c r="AL55" s="9">
        <f t="shared" si="30"/>
        <v>16</v>
      </c>
      <c r="AM55" s="10">
        <f t="shared" si="31"/>
        <v>9.9999999999994316E-2</v>
      </c>
      <c r="AR55" s="14" t="s">
        <v>87</v>
      </c>
      <c r="AS55" s="9">
        <v>16</v>
      </c>
      <c r="AT55" s="9">
        <v>16</v>
      </c>
      <c r="AU55" s="9">
        <v>111</v>
      </c>
      <c r="AV55" s="9">
        <v>61.4</v>
      </c>
      <c r="AW55" s="9">
        <f t="shared" si="32"/>
        <v>0</v>
      </c>
      <c r="AX55" s="10">
        <f t="shared" si="33"/>
        <v>49.6</v>
      </c>
      <c r="BC55" s="14" t="s">
        <v>87</v>
      </c>
      <c r="BD55" s="9">
        <v>16</v>
      </c>
      <c r="BE55" s="9"/>
      <c r="BF55" s="9">
        <v>111</v>
      </c>
      <c r="BG55" s="9"/>
      <c r="BH55" s="9">
        <f t="shared" si="22"/>
        <v>16</v>
      </c>
      <c r="BI55" s="10">
        <f t="shared" si="34"/>
        <v>111</v>
      </c>
    </row>
    <row r="56" spans="2:61" x14ac:dyDescent="0.25">
      <c r="B56" s="14" t="s">
        <v>88</v>
      </c>
      <c r="C56" s="9">
        <v>13</v>
      </c>
      <c r="D56" s="9">
        <v>12.2</v>
      </c>
      <c r="E56" s="9">
        <v>110</v>
      </c>
      <c r="F56" s="9">
        <v>62.6</v>
      </c>
      <c r="G56" s="9">
        <f t="shared" si="24"/>
        <v>0.80000000000000071</v>
      </c>
      <c r="H56" s="10">
        <f t="shared" si="25"/>
        <v>47.4</v>
      </c>
      <c r="L56" s="14" t="s">
        <v>88</v>
      </c>
      <c r="M56" s="9">
        <v>13</v>
      </c>
      <c r="N56" s="9">
        <v>12.9</v>
      </c>
      <c r="O56" s="9">
        <v>110</v>
      </c>
      <c r="P56" s="9">
        <v>58.8</v>
      </c>
      <c r="Q56" s="9">
        <f t="shared" si="26"/>
        <v>9.9999999999999645E-2</v>
      </c>
      <c r="R56" s="10">
        <f t="shared" si="27"/>
        <v>51.2</v>
      </c>
      <c r="V56" s="14" t="s">
        <v>88</v>
      </c>
      <c r="W56" s="9">
        <v>13</v>
      </c>
      <c r="X56" s="9">
        <v>10.5</v>
      </c>
      <c r="Y56" s="9">
        <v>110</v>
      </c>
      <c r="Z56" s="9">
        <v>86.1</v>
      </c>
      <c r="AA56" s="9">
        <f t="shared" si="28"/>
        <v>2.5</v>
      </c>
      <c r="AB56" s="10">
        <f t="shared" si="29"/>
        <v>23.900000000000006</v>
      </c>
      <c r="AG56" s="14" t="s">
        <v>88</v>
      </c>
      <c r="AH56" s="9">
        <v>13</v>
      </c>
      <c r="AI56" s="9"/>
      <c r="AJ56" s="9">
        <v>110</v>
      </c>
      <c r="AK56" s="9">
        <v>145</v>
      </c>
      <c r="AL56" s="9">
        <f t="shared" si="30"/>
        <v>13</v>
      </c>
      <c r="AM56" s="10">
        <f t="shared" si="31"/>
        <v>35</v>
      </c>
      <c r="AR56" s="14" t="s">
        <v>88</v>
      </c>
      <c r="AS56" s="9">
        <v>13</v>
      </c>
      <c r="AT56" s="9">
        <v>11.3</v>
      </c>
      <c r="AU56" s="9">
        <v>110</v>
      </c>
      <c r="AV56" s="9">
        <v>57.7</v>
      </c>
      <c r="AW56" s="9">
        <f t="shared" si="32"/>
        <v>1.6999999999999993</v>
      </c>
      <c r="AX56" s="10">
        <f t="shared" si="33"/>
        <v>52.3</v>
      </c>
      <c r="BC56" s="14" t="s">
        <v>88</v>
      </c>
      <c r="BD56" s="9">
        <v>13</v>
      </c>
      <c r="BE56" s="9"/>
      <c r="BF56" s="9">
        <v>110</v>
      </c>
      <c r="BG56" s="9"/>
      <c r="BH56" s="9">
        <f t="shared" si="22"/>
        <v>13</v>
      </c>
      <c r="BI56" s="10">
        <f t="shared" si="34"/>
        <v>110</v>
      </c>
    </row>
    <row r="57" spans="2:61" x14ac:dyDescent="0.25">
      <c r="B57" s="14" t="s">
        <v>89</v>
      </c>
      <c r="C57" s="9">
        <v>13.4</v>
      </c>
      <c r="D57" s="9">
        <v>13.7</v>
      </c>
      <c r="E57" s="9">
        <v>111</v>
      </c>
      <c r="F57" s="9">
        <v>63.6</v>
      </c>
      <c r="G57" s="9">
        <f t="shared" si="24"/>
        <v>0.29999999999999893</v>
      </c>
      <c r="H57" s="10">
        <f t="shared" si="25"/>
        <v>47.4</v>
      </c>
      <c r="L57" s="14" t="s">
        <v>89</v>
      </c>
      <c r="M57" s="9">
        <v>13.4</v>
      </c>
      <c r="N57" s="9">
        <v>13.6</v>
      </c>
      <c r="O57" s="9">
        <v>111</v>
      </c>
      <c r="P57" s="9">
        <v>112.4</v>
      </c>
      <c r="Q57" s="9">
        <f t="shared" si="26"/>
        <v>0.19999999999999929</v>
      </c>
      <c r="R57" s="10">
        <f t="shared" si="27"/>
        <v>1.4000000000000057</v>
      </c>
      <c r="V57" s="14" t="s">
        <v>89</v>
      </c>
      <c r="W57" s="9">
        <v>13.4</v>
      </c>
      <c r="X57" s="9">
        <v>13.8</v>
      </c>
      <c r="Y57" s="9">
        <v>111</v>
      </c>
      <c r="Z57" s="9">
        <v>94.6</v>
      </c>
      <c r="AA57" s="9">
        <f t="shared" si="28"/>
        <v>0.40000000000000036</v>
      </c>
      <c r="AB57" s="10">
        <f t="shared" si="29"/>
        <v>16.400000000000006</v>
      </c>
      <c r="AG57" s="14" t="s">
        <v>89</v>
      </c>
      <c r="AH57" s="9">
        <v>13.4</v>
      </c>
      <c r="AI57" s="9"/>
      <c r="AJ57" s="9">
        <v>111</v>
      </c>
      <c r="AK57" s="9">
        <v>151</v>
      </c>
      <c r="AL57" s="9">
        <f t="shared" si="30"/>
        <v>13.4</v>
      </c>
      <c r="AM57" s="10">
        <f t="shared" si="31"/>
        <v>40</v>
      </c>
      <c r="AR57" s="14" t="s">
        <v>89</v>
      </c>
      <c r="AS57" s="9">
        <v>13.4</v>
      </c>
      <c r="AT57" s="9">
        <v>13.8</v>
      </c>
      <c r="AU57" s="9">
        <v>111</v>
      </c>
      <c r="AV57" s="9">
        <v>96.2</v>
      </c>
      <c r="AW57" s="9">
        <f t="shared" si="32"/>
        <v>0.40000000000000036</v>
      </c>
      <c r="AX57" s="10">
        <f t="shared" si="33"/>
        <v>14.799999999999997</v>
      </c>
      <c r="BC57" s="14" t="s">
        <v>89</v>
      </c>
      <c r="BD57" s="9">
        <v>13.4</v>
      </c>
      <c r="BE57" s="9"/>
      <c r="BF57" s="9">
        <v>111</v>
      </c>
      <c r="BG57" s="9"/>
      <c r="BH57" s="9">
        <f>ABS(BD57-BE57)</f>
        <v>13.4</v>
      </c>
      <c r="BI57" s="10">
        <f t="shared" si="34"/>
        <v>111</v>
      </c>
    </row>
    <row r="58" spans="2:61" x14ac:dyDescent="0.25">
      <c r="B58" s="12" t="s">
        <v>4</v>
      </c>
      <c r="C58">
        <v>12</v>
      </c>
      <c r="D58">
        <v>11</v>
      </c>
      <c r="E58">
        <v>67</v>
      </c>
      <c r="F58">
        <v>69</v>
      </c>
      <c r="G58">
        <f>ABS(C58-D58)</f>
        <v>1</v>
      </c>
      <c r="H58" s="13">
        <f>ABS(E58-F58)</f>
        <v>2</v>
      </c>
      <c r="L58" s="12" t="s">
        <v>4</v>
      </c>
      <c r="M58">
        <v>12</v>
      </c>
      <c r="N58">
        <v>11.7</v>
      </c>
      <c r="O58">
        <v>67</v>
      </c>
      <c r="P58">
        <v>50</v>
      </c>
      <c r="Q58">
        <f>ABS(M58-N58)</f>
        <v>0.30000000000000071</v>
      </c>
      <c r="R58" s="13">
        <f>ABS(O58-P58)</f>
        <v>17</v>
      </c>
      <c r="V58" s="12" t="s">
        <v>4</v>
      </c>
      <c r="W58">
        <v>12</v>
      </c>
      <c r="X58">
        <v>11.7</v>
      </c>
      <c r="Y58">
        <v>67</v>
      </c>
      <c r="Z58">
        <v>109.9</v>
      </c>
      <c r="AA58">
        <f>ABS(W58-X58)</f>
        <v>0.30000000000000071</v>
      </c>
      <c r="AB58" s="13">
        <f>ABS(Y58-Z58)</f>
        <v>42.900000000000006</v>
      </c>
      <c r="AG58" s="12" t="s">
        <v>4</v>
      </c>
      <c r="AH58">
        <v>12</v>
      </c>
      <c r="AJ58">
        <v>67</v>
      </c>
      <c r="AK58">
        <v>69.7</v>
      </c>
      <c r="AL58">
        <f>ABS(AH58-AI58)</f>
        <v>12</v>
      </c>
      <c r="AM58" s="13">
        <f>ABS(AJ58-AK58)</f>
        <v>2.7000000000000028</v>
      </c>
      <c r="AR58" s="12" t="s">
        <v>4</v>
      </c>
      <c r="AS58">
        <v>12</v>
      </c>
      <c r="AT58">
        <v>11.5</v>
      </c>
      <c r="AU58">
        <v>67</v>
      </c>
      <c r="AV58">
        <v>67</v>
      </c>
      <c r="AW58">
        <f>ABS(AS58-AT58)</f>
        <v>0.5</v>
      </c>
      <c r="AX58" s="13">
        <f>ABS(AU58-AV58)</f>
        <v>0</v>
      </c>
      <c r="BC58" s="12" t="s">
        <v>4</v>
      </c>
      <c r="BD58">
        <v>12</v>
      </c>
      <c r="BE58">
        <v>11.5</v>
      </c>
      <c r="BF58">
        <v>67</v>
      </c>
      <c r="BG58">
        <v>73.099999999999994</v>
      </c>
      <c r="BH58">
        <f>ABS(BD58-BE58)</f>
        <v>0.5</v>
      </c>
      <c r="BI58" s="13">
        <f>ABS(BF58-BG58)</f>
        <v>6.0999999999999943</v>
      </c>
    </row>
    <row r="59" spans="2:61" x14ac:dyDescent="0.25">
      <c r="B59" s="6"/>
      <c r="C59" s="7">
        <v>16.5</v>
      </c>
      <c r="D59" s="7">
        <v>16.5</v>
      </c>
      <c r="E59" s="7">
        <v>105</v>
      </c>
      <c r="F59" s="7">
        <v>116.8</v>
      </c>
      <c r="G59" s="7">
        <f>ABS(C59-D59)</f>
        <v>0</v>
      </c>
      <c r="H59" s="8">
        <f>ABS(E59-F59)</f>
        <v>11.799999999999997</v>
      </c>
      <c r="L59" s="6"/>
      <c r="M59" s="7">
        <v>16.5</v>
      </c>
      <c r="N59" s="7">
        <v>16.7</v>
      </c>
      <c r="O59" s="7">
        <v>105</v>
      </c>
      <c r="P59" s="7">
        <v>61</v>
      </c>
      <c r="Q59" s="7">
        <f>ABS(M59-N59)</f>
        <v>0.19999999999999929</v>
      </c>
      <c r="R59" s="8">
        <f>ABS(O59-P59)</f>
        <v>44</v>
      </c>
      <c r="V59" s="6"/>
      <c r="W59" s="7">
        <v>16.5</v>
      </c>
      <c r="X59" s="7">
        <v>16.100000000000001</v>
      </c>
      <c r="Y59" s="7">
        <v>105</v>
      </c>
      <c r="Z59" s="7">
        <v>104</v>
      </c>
      <c r="AA59" s="7">
        <f>ABS(W59-X59)</f>
        <v>0.39999999999999858</v>
      </c>
      <c r="AB59" s="8">
        <f>ABS(Y59-Z59)</f>
        <v>1</v>
      </c>
      <c r="AG59" s="6"/>
      <c r="AH59" s="7">
        <v>16.5</v>
      </c>
      <c r="AI59" s="7"/>
      <c r="AJ59" s="7">
        <v>105</v>
      </c>
      <c r="AK59" s="7">
        <v>90</v>
      </c>
      <c r="AL59" s="7">
        <f>ABS(AH59-AI59)</f>
        <v>16.5</v>
      </c>
      <c r="AM59" s="8">
        <f>ABS(AJ59-AK59)</f>
        <v>15</v>
      </c>
      <c r="AR59" s="6"/>
      <c r="AS59" s="7">
        <v>16.5</v>
      </c>
      <c r="AT59" s="7">
        <v>16.3</v>
      </c>
      <c r="AU59" s="7">
        <v>105</v>
      </c>
      <c r="AV59" s="7">
        <v>90.5</v>
      </c>
      <c r="AW59" s="7">
        <f>ABS(AS59-AT59)</f>
        <v>0.19999999999999929</v>
      </c>
      <c r="AX59" s="8">
        <f>ABS(AU59-AV59)</f>
        <v>14.5</v>
      </c>
      <c r="BC59" s="6"/>
      <c r="BD59" s="7">
        <v>16.5</v>
      </c>
      <c r="BE59" s="7">
        <v>16</v>
      </c>
      <c r="BF59" s="7">
        <v>105</v>
      </c>
      <c r="BG59" s="7">
        <v>61</v>
      </c>
      <c r="BH59" s="7">
        <f>ABS(BD59-BE59)</f>
        <v>0.5</v>
      </c>
      <c r="BI59" s="8">
        <f>ABS(BF59-BG59)</f>
        <v>44</v>
      </c>
    </row>
    <row r="60" spans="2:61" x14ac:dyDescent="0.25">
      <c r="B60" s="3" t="s">
        <v>25</v>
      </c>
      <c r="C60" s="4">
        <v>14</v>
      </c>
      <c r="D60" s="4">
        <v>14</v>
      </c>
      <c r="E60" s="4">
        <v>75</v>
      </c>
      <c r="F60" s="4">
        <v>80</v>
      </c>
      <c r="G60" s="4">
        <f>ABS(C60-D60)</f>
        <v>0</v>
      </c>
      <c r="H60" s="5">
        <f t="shared" ref="H60:H77" si="35">ABS(E60-F60)</f>
        <v>5</v>
      </c>
      <c r="L60" s="3" t="s">
        <v>25</v>
      </c>
      <c r="M60" s="4">
        <v>14</v>
      </c>
      <c r="N60" s="4">
        <v>13.2</v>
      </c>
      <c r="O60" s="4">
        <v>75</v>
      </c>
      <c r="P60" s="4">
        <v>50.5</v>
      </c>
      <c r="Q60" s="4">
        <f>ABS(M60-N60)</f>
        <v>0.80000000000000071</v>
      </c>
      <c r="R60" s="5">
        <f t="shared" ref="R60:R77" si="36">ABS(O60-P60)</f>
        <v>24.5</v>
      </c>
      <c r="V60" s="3" t="s">
        <v>25</v>
      </c>
      <c r="W60" s="4">
        <v>14</v>
      </c>
      <c r="X60" s="4">
        <v>11.7</v>
      </c>
      <c r="Y60" s="4">
        <v>75</v>
      </c>
      <c r="Z60" s="4">
        <v>107.3</v>
      </c>
      <c r="AA60" s="4">
        <f>ABS(W60-X60)</f>
        <v>2.3000000000000007</v>
      </c>
      <c r="AB60" s="5">
        <f t="shared" ref="AB60:AB77" si="37">ABS(Y60-Z60)</f>
        <v>32.299999999999997</v>
      </c>
      <c r="AG60" s="3" t="s">
        <v>25</v>
      </c>
      <c r="AH60" s="4">
        <v>14</v>
      </c>
      <c r="AI60" s="4"/>
      <c r="AJ60" s="4">
        <v>75</v>
      </c>
      <c r="AK60" s="4">
        <v>70.3</v>
      </c>
      <c r="AL60" s="4">
        <f>ABS(AH60-AI60)</f>
        <v>14</v>
      </c>
      <c r="AM60" s="5">
        <f t="shared" ref="AM60:AM77" si="38">ABS(AJ60-AK60)</f>
        <v>4.7000000000000028</v>
      </c>
      <c r="AR60" s="3" t="s">
        <v>25</v>
      </c>
      <c r="AS60" s="4">
        <v>14</v>
      </c>
      <c r="AT60" s="4">
        <v>13.5</v>
      </c>
      <c r="AU60" s="4">
        <v>75</v>
      </c>
      <c r="AV60" s="4">
        <v>62.5</v>
      </c>
      <c r="AW60" s="4">
        <f>ABS(AS60-AT60)</f>
        <v>0.5</v>
      </c>
      <c r="AX60" s="5">
        <f t="shared" ref="AX60:AX77" si="39">ABS(AU60-AV60)</f>
        <v>12.5</v>
      </c>
      <c r="BC60" s="3" t="s">
        <v>25</v>
      </c>
      <c r="BD60" s="4">
        <v>14</v>
      </c>
      <c r="BE60" s="4">
        <v>14.5</v>
      </c>
      <c r="BF60" s="4">
        <v>75</v>
      </c>
      <c r="BG60" s="4">
        <v>71.099999999999994</v>
      </c>
      <c r="BH60" s="4">
        <f>ABS(BD60-BE60)</f>
        <v>0.5</v>
      </c>
      <c r="BI60" s="5">
        <f t="shared" ref="BI60:BI87" si="40">ABS(BF60-BG60)</f>
        <v>3.9000000000000057</v>
      </c>
    </row>
    <row r="61" spans="2:61" x14ac:dyDescent="0.25">
      <c r="B61" s="6"/>
      <c r="C61" s="7">
        <v>20.5</v>
      </c>
      <c r="D61" s="7">
        <v>20.5</v>
      </c>
      <c r="E61" s="7">
        <v>105</v>
      </c>
      <c r="F61" s="7">
        <v>114</v>
      </c>
      <c r="G61">
        <f>ABS(C61-D61)</f>
        <v>0</v>
      </c>
      <c r="H61" s="13">
        <f t="shared" si="35"/>
        <v>9</v>
      </c>
      <c r="L61" s="6"/>
      <c r="M61" s="7">
        <v>20.5</v>
      </c>
      <c r="N61" s="7">
        <v>21</v>
      </c>
      <c r="O61" s="7">
        <v>105</v>
      </c>
      <c r="P61" s="7">
        <v>48.5</v>
      </c>
      <c r="Q61" s="7">
        <f>ABS(M61-N61)</f>
        <v>0.5</v>
      </c>
      <c r="R61" s="8">
        <f t="shared" si="36"/>
        <v>56.5</v>
      </c>
      <c r="V61" s="6"/>
      <c r="W61" s="7">
        <v>20.5</v>
      </c>
      <c r="X61" s="7">
        <v>20.5</v>
      </c>
      <c r="Y61" s="7">
        <v>105</v>
      </c>
      <c r="Z61" s="7">
        <v>104.3</v>
      </c>
      <c r="AA61" s="7">
        <f>ABS(W61-X61)</f>
        <v>0</v>
      </c>
      <c r="AB61" s="8">
        <f t="shared" si="37"/>
        <v>0.70000000000000284</v>
      </c>
      <c r="AG61" s="6"/>
      <c r="AH61" s="7">
        <v>20.5</v>
      </c>
      <c r="AI61" s="7"/>
      <c r="AJ61" s="7">
        <v>105</v>
      </c>
      <c r="AK61" s="7">
        <v>157</v>
      </c>
      <c r="AL61" s="7">
        <f>ABS(AH61-AI61)</f>
        <v>20.5</v>
      </c>
      <c r="AM61" s="8">
        <f t="shared" si="38"/>
        <v>52</v>
      </c>
      <c r="AR61" s="6"/>
      <c r="AS61" s="7">
        <v>20.5</v>
      </c>
      <c r="AT61" s="7">
        <v>20.3</v>
      </c>
      <c r="AU61" s="7">
        <v>105</v>
      </c>
      <c r="AV61" s="7">
        <v>79.400000000000006</v>
      </c>
      <c r="AW61" s="7">
        <f>ABS(AS61-AT61)</f>
        <v>0.19999999999999929</v>
      </c>
      <c r="AX61" s="8">
        <f t="shared" si="39"/>
        <v>25.599999999999994</v>
      </c>
      <c r="BC61" s="6"/>
      <c r="BD61" s="7">
        <v>20.5</v>
      </c>
      <c r="BE61" s="7">
        <v>20.5</v>
      </c>
      <c r="BF61" s="7">
        <v>105</v>
      </c>
      <c r="BG61" s="7">
        <v>63.5</v>
      </c>
      <c r="BH61" s="7">
        <f>ABS(BD61-BE61)</f>
        <v>0</v>
      </c>
      <c r="BI61" s="8">
        <f t="shared" si="40"/>
        <v>41.5</v>
      </c>
    </row>
    <row r="62" spans="2:61" x14ac:dyDescent="0.25">
      <c r="B62" s="3" t="s">
        <v>42</v>
      </c>
      <c r="C62" s="4">
        <v>8.4</v>
      </c>
      <c r="D62" s="4">
        <v>7.7</v>
      </c>
      <c r="E62" s="4">
        <v>65</v>
      </c>
      <c r="F62" s="4">
        <v>77.2</v>
      </c>
      <c r="G62" s="4">
        <f t="shared" ref="G62:G77" si="41">ABS(C62-D62)</f>
        <v>0.70000000000000018</v>
      </c>
      <c r="H62" s="5">
        <f t="shared" si="35"/>
        <v>12.200000000000003</v>
      </c>
      <c r="L62" s="3" t="s">
        <v>42</v>
      </c>
      <c r="M62" s="4">
        <v>8.4</v>
      </c>
      <c r="N62" s="4">
        <v>9.1</v>
      </c>
      <c r="O62" s="4">
        <v>65</v>
      </c>
      <c r="P62" s="4">
        <v>67.599999999999994</v>
      </c>
      <c r="Q62" s="4">
        <f t="shared" ref="Q62:Q77" si="42">ABS(M62-N62)</f>
        <v>0.69999999999999929</v>
      </c>
      <c r="R62" s="5">
        <f t="shared" si="36"/>
        <v>2.5999999999999943</v>
      </c>
      <c r="V62" s="3" t="s">
        <v>42</v>
      </c>
      <c r="W62" s="4">
        <v>8.4</v>
      </c>
      <c r="X62" s="4">
        <v>8.1999999999999993</v>
      </c>
      <c r="Y62" s="4">
        <v>65</v>
      </c>
      <c r="Z62" s="4">
        <v>82.3</v>
      </c>
      <c r="AA62" s="4">
        <f t="shared" ref="AA62:AA77" si="43">ABS(W62-X62)</f>
        <v>0.20000000000000107</v>
      </c>
      <c r="AB62" s="5">
        <f t="shared" si="37"/>
        <v>17.299999999999997</v>
      </c>
      <c r="AG62" s="3" t="s">
        <v>42</v>
      </c>
      <c r="AH62" s="4">
        <v>8.4</v>
      </c>
      <c r="AI62" s="4"/>
      <c r="AJ62" s="4">
        <v>65</v>
      </c>
      <c r="AK62" s="4">
        <v>250</v>
      </c>
      <c r="AL62" s="4">
        <f t="shared" ref="AL62:AL77" si="44">ABS(AH62-AI62)</f>
        <v>8.4</v>
      </c>
      <c r="AM62" s="5">
        <f t="shared" si="38"/>
        <v>185</v>
      </c>
      <c r="AR62" s="3" t="s">
        <v>42</v>
      </c>
      <c r="AS62" s="4">
        <v>8.4</v>
      </c>
      <c r="AT62" s="4">
        <v>7.8</v>
      </c>
      <c r="AU62" s="4">
        <v>65</v>
      </c>
      <c r="AV62" s="4">
        <v>80</v>
      </c>
      <c r="AW62" s="4">
        <f t="shared" ref="AW62:AW77" si="45">ABS(AS62-AT62)</f>
        <v>0.60000000000000053</v>
      </c>
      <c r="AX62" s="5">
        <f t="shared" si="39"/>
        <v>15</v>
      </c>
      <c r="BC62" s="3" t="s">
        <v>42</v>
      </c>
      <c r="BD62" s="4">
        <v>8.4</v>
      </c>
      <c r="BE62" s="4">
        <v>7.61</v>
      </c>
      <c r="BF62" s="4">
        <v>65</v>
      </c>
      <c r="BG62" s="4">
        <v>67.650000000000006</v>
      </c>
      <c r="BH62" s="4">
        <f t="shared" ref="BH62:BH87" si="46">ABS(BD62-BE62)</f>
        <v>0.79</v>
      </c>
      <c r="BI62" s="5">
        <f t="shared" si="40"/>
        <v>2.6500000000000057</v>
      </c>
    </row>
    <row r="63" spans="2:61" x14ac:dyDescent="0.25">
      <c r="B63" s="6"/>
      <c r="C63" s="7">
        <v>8</v>
      </c>
      <c r="D63" s="7">
        <v>8</v>
      </c>
      <c r="E63" s="7">
        <v>94</v>
      </c>
      <c r="F63" s="7">
        <v>81.7</v>
      </c>
      <c r="G63" s="7">
        <f t="shared" si="41"/>
        <v>0</v>
      </c>
      <c r="H63" s="8">
        <f t="shared" si="35"/>
        <v>12.299999999999997</v>
      </c>
      <c r="L63" s="6"/>
      <c r="M63" s="7">
        <v>8</v>
      </c>
      <c r="N63" s="7">
        <v>9</v>
      </c>
      <c r="O63" s="7">
        <v>94</v>
      </c>
      <c r="P63" s="7">
        <v>101.2</v>
      </c>
      <c r="Q63" s="7">
        <f t="shared" si="42"/>
        <v>1</v>
      </c>
      <c r="R63" s="8">
        <f t="shared" si="36"/>
        <v>7.2000000000000028</v>
      </c>
      <c r="V63" s="6"/>
      <c r="W63" s="7">
        <v>8</v>
      </c>
      <c r="X63" s="7">
        <v>7</v>
      </c>
      <c r="Y63" s="7">
        <v>94</v>
      </c>
      <c r="Z63" s="7">
        <v>97.9</v>
      </c>
      <c r="AA63" s="7">
        <f t="shared" si="43"/>
        <v>1</v>
      </c>
      <c r="AB63" s="8">
        <f t="shared" si="37"/>
        <v>3.9000000000000057</v>
      </c>
      <c r="AG63" s="6"/>
      <c r="AH63" s="7">
        <v>8</v>
      </c>
      <c r="AI63" s="7"/>
      <c r="AJ63" s="7">
        <v>94</v>
      </c>
      <c r="AK63" s="7">
        <v>117.3</v>
      </c>
      <c r="AL63" s="7">
        <f t="shared" si="44"/>
        <v>8</v>
      </c>
      <c r="AM63" s="8">
        <f t="shared" si="38"/>
        <v>23.299999999999997</v>
      </c>
      <c r="AR63" s="6"/>
      <c r="AS63" s="7">
        <v>8</v>
      </c>
      <c r="AT63" s="7">
        <v>8</v>
      </c>
      <c r="AU63" s="7">
        <v>94</v>
      </c>
      <c r="AV63" s="7">
        <v>74.7</v>
      </c>
      <c r="AW63" s="7">
        <f t="shared" si="45"/>
        <v>0</v>
      </c>
      <c r="AX63" s="8">
        <f t="shared" si="39"/>
        <v>19.299999999999997</v>
      </c>
      <c r="BC63" s="6"/>
      <c r="BD63" s="7">
        <v>8</v>
      </c>
      <c r="BE63" s="7">
        <v>8.01</v>
      </c>
      <c r="BF63" s="7">
        <v>94</v>
      </c>
      <c r="BG63" s="7">
        <v>101.27</v>
      </c>
      <c r="BH63" s="7">
        <f t="shared" si="46"/>
        <v>9.9999999999997868E-3</v>
      </c>
      <c r="BI63" s="8">
        <f t="shared" si="40"/>
        <v>7.269999999999996</v>
      </c>
    </row>
    <row r="64" spans="2:61" x14ac:dyDescent="0.25">
      <c r="B64" s="3" t="s">
        <v>43</v>
      </c>
      <c r="C64" s="4">
        <v>8</v>
      </c>
      <c r="D64" s="4">
        <v>7.2</v>
      </c>
      <c r="E64" s="4">
        <v>64</v>
      </c>
      <c r="F64" s="4">
        <v>69.3</v>
      </c>
      <c r="G64" s="4">
        <f t="shared" si="41"/>
        <v>0.79999999999999982</v>
      </c>
      <c r="H64" s="5">
        <f t="shared" si="35"/>
        <v>5.2999999999999972</v>
      </c>
      <c r="L64" s="3" t="s">
        <v>43</v>
      </c>
      <c r="M64" s="4">
        <v>8</v>
      </c>
      <c r="N64" s="4">
        <v>7</v>
      </c>
      <c r="O64" s="4">
        <v>64</v>
      </c>
      <c r="P64" s="4">
        <v>63.2</v>
      </c>
      <c r="Q64" s="4">
        <f t="shared" si="42"/>
        <v>1</v>
      </c>
      <c r="R64" s="5">
        <f t="shared" si="36"/>
        <v>0.79999999999999716</v>
      </c>
      <c r="V64" s="3" t="s">
        <v>43</v>
      </c>
      <c r="W64" s="4">
        <v>8</v>
      </c>
      <c r="X64" s="4">
        <v>7</v>
      </c>
      <c r="Y64" s="4">
        <v>64</v>
      </c>
      <c r="Z64" s="4">
        <v>85.5</v>
      </c>
      <c r="AA64" s="4">
        <f t="shared" si="43"/>
        <v>1</v>
      </c>
      <c r="AB64" s="5">
        <f t="shared" si="37"/>
        <v>21.5</v>
      </c>
      <c r="AG64" s="3" t="s">
        <v>43</v>
      </c>
      <c r="AH64" s="4">
        <v>8</v>
      </c>
      <c r="AI64" s="4"/>
      <c r="AJ64" s="4">
        <v>64</v>
      </c>
      <c r="AK64" s="4">
        <v>78</v>
      </c>
      <c r="AL64" s="4">
        <f t="shared" si="44"/>
        <v>8</v>
      </c>
      <c r="AM64" s="5">
        <f t="shared" si="38"/>
        <v>14</v>
      </c>
      <c r="AR64" s="3" t="s">
        <v>43</v>
      </c>
      <c r="AS64" s="4">
        <v>8</v>
      </c>
      <c r="AT64" s="4">
        <v>7.2</v>
      </c>
      <c r="AU64" s="4">
        <v>64</v>
      </c>
      <c r="AV64" s="4">
        <v>86</v>
      </c>
      <c r="AW64" s="4">
        <f t="shared" si="45"/>
        <v>0.79999999999999982</v>
      </c>
      <c r="AX64" s="5">
        <f t="shared" si="39"/>
        <v>22</v>
      </c>
      <c r="BC64" s="3" t="s">
        <v>43</v>
      </c>
      <c r="BD64" s="4">
        <v>8</v>
      </c>
      <c r="BE64" s="4">
        <v>7.2</v>
      </c>
      <c r="BF64" s="4">
        <v>64</v>
      </c>
      <c r="BG64" s="4">
        <v>63.24</v>
      </c>
      <c r="BH64" s="4">
        <f t="shared" si="46"/>
        <v>0.79999999999999982</v>
      </c>
      <c r="BI64" s="5">
        <f t="shared" si="40"/>
        <v>0.75999999999999801</v>
      </c>
    </row>
    <row r="65" spans="2:61" x14ac:dyDescent="0.25">
      <c r="B65" s="6"/>
      <c r="C65" s="7">
        <v>8</v>
      </c>
      <c r="D65">
        <v>7.5</v>
      </c>
      <c r="E65" s="7">
        <v>87</v>
      </c>
      <c r="F65" s="7">
        <v>76.599999999999994</v>
      </c>
      <c r="G65" s="7">
        <f t="shared" si="41"/>
        <v>0.5</v>
      </c>
      <c r="H65" s="8">
        <f t="shared" si="35"/>
        <v>10.400000000000006</v>
      </c>
      <c r="L65" s="6"/>
      <c r="M65" s="7">
        <v>8</v>
      </c>
      <c r="N65" s="7">
        <v>9.5</v>
      </c>
      <c r="O65" s="7">
        <v>87</v>
      </c>
      <c r="P65" s="7">
        <v>94.8</v>
      </c>
      <c r="Q65" s="7">
        <f t="shared" si="42"/>
        <v>1.5</v>
      </c>
      <c r="R65" s="8">
        <f t="shared" si="36"/>
        <v>7.7999999999999972</v>
      </c>
      <c r="V65" s="6"/>
      <c r="W65" s="7">
        <v>8</v>
      </c>
      <c r="X65" s="7">
        <v>7.9</v>
      </c>
      <c r="Y65" s="7">
        <v>87</v>
      </c>
      <c r="Z65" s="7">
        <v>82.6</v>
      </c>
      <c r="AA65" s="7">
        <f t="shared" si="43"/>
        <v>9.9999999999999645E-2</v>
      </c>
      <c r="AB65" s="8">
        <f t="shared" si="37"/>
        <v>4.4000000000000057</v>
      </c>
      <c r="AG65" s="6"/>
      <c r="AH65" s="7">
        <v>8</v>
      </c>
      <c r="AI65" s="7"/>
      <c r="AJ65" s="7">
        <v>87</v>
      </c>
      <c r="AK65" s="7">
        <v>117</v>
      </c>
      <c r="AL65" s="7">
        <f t="shared" si="44"/>
        <v>8</v>
      </c>
      <c r="AM65" s="8">
        <f t="shared" si="38"/>
        <v>30</v>
      </c>
      <c r="AR65" s="6"/>
      <c r="AS65" s="7">
        <v>8</v>
      </c>
      <c r="AT65" s="7">
        <v>8.6999999999999993</v>
      </c>
      <c r="AU65" s="7">
        <v>87</v>
      </c>
      <c r="AV65" s="7">
        <v>51.9</v>
      </c>
      <c r="AW65" s="7">
        <f t="shared" si="45"/>
        <v>0.69999999999999929</v>
      </c>
      <c r="AX65" s="8">
        <f t="shared" si="39"/>
        <v>35.1</v>
      </c>
      <c r="BC65" s="6"/>
      <c r="BD65" s="7">
        <v>8</v>
      </c>
      <c r="BE65" s="7">
        <v>8.01</v>
      </c>
      <c r="BF65" s="7">
        <v>87</v>
      </c>
      <c r="BG65" s="7">
        <v>62.44</v>
      </c>
      <c r="BH65" s="7">
        <f t="shared" si="46"/>
        <v>9.9999999999997868E-3</v>
      </c>
      <c r="BI65" s="8">
        <f t="shared" si="40"/>
        <v>24.560000000000002</v>
      </c>
    </row>
    <row r="66" spans="2:61" x14ac:dyDescent="0.25">
      <c r="B66" s="3" t="s">
        <v>44</v>
      </c>
      <c r="C66" s="4">
        <v>7.6</v>
      </c>
      <c r="D66" s="4">
        <v>6.5</v>
      </c>
      <c r="E66" s="4">
        <v>65</v>
      </c>
      <c r="F66" s="4">
        <v>78.2</v>
      </c>
      <c r="G66" s="4">
        <f t="shared" si="41"/>
        <v>1.0999999999999996</v>
      </c>
      <c r="H66" s="5">
        <f t="shared" si="35"/>
        <v>13.200000000000003</v>
      </c>
      <c r="L66" s="3" t="s">
        <v>44</v>
      </c>
      <c r="M66" s="4">
        <v>7.6</v>
      </c>
      <c r="N66" s="4">
        <v>6.9</v>
      </c>
      <c r="O66" s="4">
        <v>65</v>
      </c>
      <c r="P66" s="4">
        <v>110</v>
      </c>
      <c r="Q66" s="4">
        <f t="shared" si="42"/>
        <v>0.69999999999999929</v>
      </c>
      <c r="R66" s="5">
        <f t="shared" si="36"/>
        <v>45</v>
      </c>
      <c r="V66" s="3" t="s">
        <v>44</v>
      </c>
      <c r="W66" s="4">
        <v>7.6</v>
      </c>
      <c r="X66" s="4">
        <v>7</v>
      </c>
      <c r="Y66" s="4">
        <v>65</v>
      </c>
      <c r="Z66" s="4">
        <v>90.8</v>
      </c>
      <c r="AA66" s="4">
        <f t="shared" si="43"/>
        <v>0.59999999999999964</v>
      </c>
      <c r="AB66" s="5">
        <f t="shared" si="37"/>
        <v>25.799999999999997</v>
      </c>
      <c r="AG66" s="3" t="s">
        <v>44</v>
      </c>
      <c r="AH66" s="4">
        <v>7.6</v>
      </c>
      <c r="AI66" s="4"/>
      <c r="AJ66" s="4">
        <v>65</v>
      </c>
      <c r="AK66" s="4">
        <v>169.3</v>
      </c>
      <c r="AL66" s="4">
        <f t="shared" si="44"/>
        <v>7.6</v>
      </c>
      <c r="AM66" s="5">
        <f t="shared" si="38"/>
        <v>104.30000000000001</v>
      </c>
      <c r="AR66" s="3" t="s">
        <v>44</v>
      </c>
      <c r="AS66" s="4">
        <v>7.6</v>
      </c>
      <c r="AT66" s="4">
        <v>6.7</v>
      </c>
      <c r="AU66" s="4">
        <v>65</v>
      </c>
      <c r="AV66" s="4">
        <v>3.9</v>
      </c>
      <c r="AW66" s="4">
        <f t="shared" si="45"/>
        <v>0.89999999999999947</v>
      </c>
      <c r="AX66" s="5">
        <f t="shared" si="39"/>
        <v>61.1</v>
      </c>
      <c r="BC66" s="3" t="s">
        <v>44</v>
      </c>
      <c r="BD66" s="4">
        <v>7.6</v>
      </c>
      <c r="BE66" s="4">
        <v>7.61</v>
      </c>
      <c r="BF66" s="4">
        <v>65</v>
      </c>
      <c r="BG66" s="4">
        <v>110.07</v>
      </c>
      <c r="BH66" s="4">
        <f t="shared" si="46"/>
        <v>1.0000000000000675E-2</v>
      </c>
      <c r="BI66" s="5">
        <f t="shared" si="40"/>
        <v>45.069999999999993</v>
      </c>
    </row>
    <row r="67" spans="2:61" x14ac:dyDescent="0.25">
      <c r="B67" s="6"/>
      <c r="C67" s="7">
        <v>10</v>
      </c>
      <c r="D67" s="7">
        <v>10.7</v>
      </c>
      <c r="E67" s="7">
        <v>89</v>
      </c>
      <c r="F67" s="7">
        <v>77.3</v>
      </c>
      <c r="G67" s="7">
        <f t="shared" si="41"/>
        <v>0.69999999999999929</v>
      </c>
      <c r="H67" s="8">
        <f t="shared" si="35"/>
        <v>11.700000000000003</v>
      </c>
      <c r="L67" s="6"/>
      <c r="M67" s="7">
        <v>10</v>
      </c>
      <c r="N67" s="7">
        <v>10</v>
      </c>
      <c r="O67" s="7">
        <v>89</v>
      </c>
      <c r="P67" s="7">
        <v>65.2</v>
      </c>
      <c r="Q67" s="7">
        <f>ABS(M67-N67)</f>
        <v>0</v>
      </c>
      <c r="R67" s="8">
        <f t="shared" si="36"/>
        <v>23.799999999999997</v>
      </c>
      <c r="V67" s="6"/>
      <c r="W67" s="7">
        <v>10</v>
      </c>
      <c r="X67" s="7">
        <v>10.5</v>
      </c>
      <c r="Y67" s="7">
        <v>89</v>
      </c>
      <c r="Z67" s="7">
        <v>88.2</v>
      </c>
      <c r="AA67" s="7">
        <f t="shared" si="43"/>
        <v>0.5</v>
      </c>
      <c r="AB67" s="8">
        <f t="shared" si="37"/>
        <v>0.79999999999999716</v>
      </c>
      <c r="AG67" s="6"/>
      <c r="AH67" s="7">
        <v>10</v>
      </c>
      <c r="AI67" s="7"/>
      <c r="AJ67" s="7">
        <v>89</v>
      </c>
      <c r="AK67" s="7">
        <v>126.5</v>
      </c>
      <c r="AL67" s="7">
        <f t="shared" si="44"/>
        <v>10</v>
      </c>
      <c r="AM67" s="8">
        <f t="shared" si="38"/>
        <v>37.5</v>
      </c>
      <c r="AR67" s="6"/>
      <c r="AS67" s="7">
        <v>10</v>
      </c>
      <c r="AT67" s="7">
        <v>11</v>
      </c>
      <c r="AU67" s="7">
        <v>89</v>
      </c>
      <c r="AV67" s="7">
        <v>61.4</v>
      </c>
      <c r="AW67" s="7">
        <f t="shared" si="45"/>
        <v>1</v>
      </c>
      <c r="AX67" s="8">
        <f t="shared" si="39"/>
        <v>27.6</v>
      </c>
      <c r="BC67" s="6"/>
      <c r="BD67" s="7">
        <v>10</v>
      </c>
      <c r="BE67" s="7">
        <v>10.81</v>
      </c>
      <c r="BF67" s="7">
        <v>89</v>
      </c>
      <c r="BG67" s="7">
        <v>65.239999999999995</v>
      </c>
      <c r="BH67" s="7">
        <f t="shared" si="46"/>
        <v>0.8100000000000005</v>
      </c>
      <c r="BI67" s="8">
        <f t="shared" si="40"/>
        <v>23.760000000000005</v>
      </c>
    </row>
    <row r="68" spans="2:61" x14ac:dyDescent="0.25">
      <c r="B68" s="3" t="s">
        <v>45</v>
      </c>
      <c r="C68" s="4">
        <v>7.6</v>
      </c>
      <c r="D68" s="4">
        <v>7.3</v>
      </c>
      <c r="E68" s="4">
        <v>66</v>
      </c>
      <c r="F68" s="4">
        <v>75</v>
      </c>
      <c r="G68" s="4">
        <f t="shared" si="41"/>
        <v>0.29999999999999982</v>
      </c>
      <c r="H68" s="5">
        <f t="shared" si="35"/>
        <v>9</v>
      </c>
      <c r="L68" s="3" t="s">
        <v>45</v>
      </c>
      <c r="M68" s="4">
        <v>7.6</v>
      </c>
      <c r="N68" s="4">
        <v>9.4</v>
      </c>
      <c r="O68" s="4">
        <v>66</v>
      </c>
      <c r="P68" s="4">
        <v>62</v>
      </c>
      <c r="Q68" s="4">
        <f>ABS(M68-N68)</f>
        <v>1.8000000000000007</v>
      </c>
      <c r="R68" s="5">
        <f t="shared" si="36"/>
        <v>4</v>
      </c>
      <c r="V68" s="3" t="s">
        <v>45</v>
      </c>
      <c r="W68" s="4">
        <v>7.6</v>
      </c>
      <c r="X68" s="4">
        <v>7</v>
      </c>
      <c r="Y68" s="4">
        <v>66</v>
      </c>
      <c r="Z68" s="4">
        <v>83.8</v>
      </c>
      <c r="AA68" s="4">
        <f t="shared" si="43"/>
        <v>0.59999999999999964</v>
      </c>
      <c r="AB68" s="5">
        <f t="shared" si="37"/>
        <v>17.799999999999997</v>
      </c>
      <c r="AG68" s="3" t="s">
        <v>45</v>
      </c>
      <c r="AH68" s="4">
        <v>7.6</v>
      </c>
      <c r="AI68" s="4"/>
      <c r="AJ68" s="4">
        <v>66</v>
      </c>
      <c r="AK68" s="4">
        <v>64</v>
      </c>
      <c r="AL68" s="4">
        <f t="shared" si="44"/>
        <v>7.6</v>
      </c>
      <c r="AM68" s="5">
        <f t="shared" si="38"/>
        <v>2</v>
      </c>
      <c r="AR68" s="3" t="s">
        <v>45</v>
      </c>
      <c r="AS68" s="4">
        <v>7.6</v>
      </c>
      <c r="AT68" s="4">
        <v>6.6</v>
      </c>
      <c r="AU68" s="4">
        <v>66</v>
      </c>
      <c r="AV68" s="4">
        <v>62.9</v>
      </c>
      <c r="AW68" s="4">
        <f t="shared" si="45"/>
        <v>1</v>
      </c>
      <c r="AX68" s="5">
        <f t="shared" si="39"/>
        <v>3.1000000000000014</v>
      </c>
      <c r="BC68" s="3" t="s">
        <v>45</v>
      </c>
      <c r="BD68" s="4">
        <v>7.6</v>
      </c>
      <c r="BE68" s="4">
        <v>8.41</v>
      </c>
      <c r="BF68" s="4">
        <v>66</v>
      </c>
      <c r="BG68" s="4">
        <v>102.47</v>
      </c>
      <c r="BH68" s="4">
        <f t="shared" si="46"/>
        <v>0.8100000000000005</v>
      </c>
      <c r="BI68" s="5">
        <f t="shared" si="40"/>
        <v>36.47</v>
      </c>
    </row>
    <row r="69" spans="2:61" x14ac:dyDescent="0.25">
      <c r="B69" s="6"/>
      <c r="C69" s="7">
        <v>11.6</v>
      </c>
      <c r="D69" s="7">
        <v>13.2</v>
      </c>
      <c r="E69" s="7">
        <v>87</v>
      </c>
      <c r="F69" s="7">
        <v>79.2</v>
      </c>
      <c r="G69" s="7">
        <f t="shared" si="41"/>
        <v>1.5999999999999996</v>
      </c>
      <c r="H69" s="8">
        <f t="shared" si="35"/>
        <v>7.7999999999999972</v>
      </c>
      <c r="L69" s="6"/>
      <c r="M69" s="7">
        <v>11.6</v>
      </c>
      <c r="N69" s="7">
        <v>13.6</v>
      </c>
      <c r="O69" s="7">
        <v>87</v>
      </c>
      <c r="P69" s="7">
        <v>84</v>
      </c>
      <c r="Q69">
        <f t="shared" si="42"/>
        <v>2</v>
      </c>
      <c r="R69" s="13">
        <f t="shared" si="36"/>
        <v>3</v>
      </c>
      <c r="V69" s="6"/>
      <c r="W69" s="7">
        <v>11.6</v>
      </c>
      <c r="X69" s="7">
        <v>14.4</v>
      </c>
      <c r="Y69" s="7">
        <v>87</v>
      </c>
      <c r="Z69" s="7">
        <v>90.8</v>
      </c>
      <c r="AA69" s="7">
        <f t="shared" si="43"/>
        <v>2.8000000000000007</v>
      </c>
      <c r="AB69" s="8">
        <f t="shared" si="37"/>
        <v>3.7999999999999972</v>
      </c>
      <c r="AG69" s="6"/>
      <c r="AH69" s="7">
        <v>11.6</v>
      </c>
      <c r="AI69" s="7"/>
      <c r="AJ69" s="7">
        <v>87</v>
      </c>
      <c r="AK69" s="7">
        <v>133</v>
      </c>
      <c r="AL69">
        <f t="shared" si="44"/>
        <v>11.6</v>
      </c>
      <c r="AM69" s="13">
        <f t="shared" si="38"/>
        <v>46</v>
      </c>
      <c r="AR69" s="6"/>
      <c r="AS69" s="7">
        <v>11.6</v>
      </c>
      <c r="AT69" s="7">
        <v>11</v>
      </c>
      <c r="AU69" s="7">
        <v>87</v>
      </c>
      <c r="AV69" s="7">
        <v>72.400000000000006</v>
      </c>
      <c r="AW69">
        <f t="shared" si="45"/>
        <v>0.59999999999999964</v>
      </c>
      <c r="AX69" s="13">
        <f t="shared" si="39"/>
        <v>14.599999999999994</v>
      </c>
      <c r="BC69" s="6"/>
      <c r="BD69" s="7">
        <v>11.6</v>
      </c>
      <c r="BE69" s="7">
        <v>10.81</v>
      </c>
      <c r="BF69" s="7">
        <v>87</v>
      </c>
      <c r="BG69" s="7">
        <v>54.84</v>
      </c>
      <c r="BH69">
        <f t="shared" si="46"/>
        <v>0.78999999999999915</v>
      </c>
      <c r="BI69" s="13">
        <f t="shared" si="40"/>
        <v>32.159999999999997</v>
      </c>
    </row>
    <row r="70" spans="2:61" x14ac:dyDescent="0.25">
      <c r="B70" s="3" t="s">
        <v>56</v>
      </c>
      <c r="C70" s="4">
        <v>8</v>
      </c>
      <c r="D70" s="4">
        <v>8.6</v>
      </c>
      <c r="E70" s="4">
        <v>76</v>
      </c>
      <c r="F70" s="4">
        <v>70.599999999999994</v>
      </c>
      <c r="G70" s="4">
        <f t="shared" si="41"/>
        <v>0.59999999999999964</v>
      </c>
      <c r="H70" s="5">
        <f t="shared" si="35"/>
        <v>5.4000000000000057</v>
      </c>
      <c r="L70" s="3" t="s">
        <v>56</v>
      </c>
      <c r="M70" s="4">
        <v>8</v>
      </c>
      <c r="N70" s="4">
        <v>9.5</v>
      </c>
      <c r="O70" s="4">
        <v>76</v>
      </c>
      <c r="P70" s="4">
        <v>48.4</v>
      </c>
      <c r="Q70" s="4">
        <f t="shared" si="42"/>
        <v>1.5</v>
      </c>
      <c r="R70" s="5">
        <f t="shared" si="36"/>
        <v>27.6</v>
      </c>
      <c r="V70" s="3" t="s">
        <v>56</v>
      </c>
      <c r="W70" s="4">
        <v>8</v>
      </c>
      <c r="X70" s="4">
        <v>9.4</v>
      </c>
      <c r="Y70" s="4">
        <v>76</v>
      </c>
      <c r="Z70" s="4">
        <v>81.2</v>
      </c>
      <c r="AA70" s="4">
        <f t="shared" si="43"/>
        <v>1.4000000000000004</v>
      </c>
      <c r="AB70" s="5">
        <f t="shared" si="37"/>
        <v>5.2000000000000028</v>
      </c>
      <c r="AG70" s="3" t="s">
        <v>56</v>
      </c>
      <c r="AH70" s="4">
        <v>8</v>
      </c>
      <c r="AI70" s="4"/>
      <c r="AJ70" s="4">
        <v>76</v>
      </c>
      <c r="AK70" s="4">
        <v>107.3</v>
      </c>
      <c r="AL70" s="4">
        <f t="shared" si="44"/>
        <v>8</v>
      </c>
      <c r="AM70" s="5">
        <f t="shared" si="38"/>
        <v>31.299999999999997</v>
      </c>
      <c r="AR70" s="3" t="s">
        <v>56</v>
      </c>
      <c r="AS70" s="4">
        <v>8</v>
      </c>
      <c r="AT70" s="4">
        <v>9.1999999999999993</v>
      </c>
      <c r="AU70" s="4">
        <v>76</v>
      </c>
      <c r="AV70" s="4">
        <v>60.7</v>
      </c>
      <c r="AW70" s="4">
        <f t="shared" si="45"/>
        <v>1.1999999999999993</v>
      </c>
      <c r="AX70" s="5">
        <f t="shared" si="39"/>
        <v>15.299999999999997</v>
      </c>
      <c r="BC70" s="3" t="s">
        <v>56</v>
      </c>
      <c r="BD70" s="4">
        <v>8</v>
      </c>
      <c r="BE70" s="4">
        <v>8.81</v>
      </c>
      <c r="BF70" s="4">
        <v>76</v>
      </c>
      <c r="BG70" s="4">
        <v>65.239999999999995</v>
      </c>
      <c r="BH70" s="4">
        <f t="shared" si="46"/>
        <v>0.8100000000000005</v>
      </c>
      <c r="BI70" s="5">
        <f t="shared" si="40"/>
        <v>10.760000000000005</v>
      </c>
    </row>
    <row r="71" spans="2:61" x14ac:dyDescent="0.25">
      <c r="B71" s="6"/>
      <c r="C71" s="7">
        <v>11.6</v>
      </c>
      <c r="D71" s="7">
        <v>9.9</v>
      </c>
      <c r="E71" s="7">
        <v>101</v>
      </c>
      <c r="F71" s="7">
        <v>78.599999999999994</v>
      </c>
      <c r="G71" s="7">
        <f t="shared" si="41"/>
        <v>1.6999999999999993</v>
      </c>
      <c r="H71" s="8">
        <f t="shared" si="35"/>
        <v>22.400000000000006</v>
      </c>
      <c r="L71" s="6"/>
      <c r="M71" s="7">
        <v>11.6</v>
      </c>
      <c r="N71" s="7">
        <v>10</v>
      </c>
      <c r="O71" s="7">
        <v>101</v>
      </c>
      <c r="P71" s="7">
        <v>87.2</v>
      </c>
      <c r="Q71" s="7">
        <f t="shared" si="42"/>
        <v>1.5999999999999996</v>
      </c>
      <c r="R71" s="8">
        <f t="shared" si="36"/>
        <v>13.799999999999997</v>
      </c>
      <c r="V71" s="6"/>
      <c r="W71" s="7">
        <v>11.6</v>
      </c>
      <c r="X71" s="7">
        <v>7</v>
      </c>
      <c r="Y71" s="7">
        <v>101</v>
      </c>
      <c r="Z71" s="7">
        <v>95.8</v>
      </c>
      <c r="AA71" s="7">
        <f t="shared" si="43"/>
        <v>4.5999999999999996</v>
      </c>
      <c r="AB71" s="8">
        <f t="shared" si="37"/>
        <v>5.2000000000000028</v>
      </c>
      <c r="AG71" s="6"/>
      <c r="AH71" s="7">
        <v>11.6</v>
      </c>
      <c r="AI71" s="7"/>
      <c r="AJ71" s="7">
        <v>101</v>
      </c>
      <c r="AK71" s="7">
        <v>129</v>
      </c>
      <c r="AL71" s="7">
        <f t="shared" si="44"/>
        <v>11.6</v>
      </c>
      <c r="AM71" s="8">
        <f t="shared" si="38"/>
        <v>28</v>
      </c>
      <c r="AR71" s="6"/>
      <c r="AS71" s="7">
        <v>11.6</v>
      </c>
      <c r="AT71" s="7">
        <v>6.4</v>
      </c>
      <c r="AU71" s="7">
        <v>101</v>
      </c>
      <c r="AV71" s="7">
        <v>87.8</v>
      </c>
      <c r="AW71" s="7">
        <f t="shared" si="45"/>
        <v>5.1999999999999993</v>
      </c>
      <c r="AX71" s="8">
        <f t="shared" si="39"/>
        <v>13.200000000000003</v>
      </c>
      <c r="BC71" s="6"/>
      <c r="BD71" s="7">
        <v>11.6</v>
      </c>
      <c r="BE71" s="7">
        <v>12.01</v>
      </c>
      <c r="BF71" s="7">
        <v>101</v>
      </c>
      <c r="BG71" s="7">
        <v>94.86</v>
      </c>
      <c r="BH71" s="7">
        <f t="shared" si="46"/>
        <v>0.41000000000000014</v>
      </c>
      <c r="BI71" s="8">
        <f t="shared" si="40"/>
        <v>6.1400000000000006</v>
      </c>
    </row>
    <row r="72" spans="2:61" x14ac:dyDescent="0.25">
      <c r="B72" s="3" t="s">
        <v>57</v>
      </c>
      <c r="C72" s="4">
        <v>8.4</v>
      </c>
      <c r="D72" s="4">
        <v>9.1999999999999993</v>
      </c>
      <c r="E72" s="4">
        <v>73</v>
      </c>
      <c r="F72" s="4">
        <v>73.3</v>
      </c>
      <c r="G72" s="4">
        <f t="shared" si="41"/>
        <v>0.79999999999999893</v>
      </c>
      <c r="H72" s="5">
        <f t="shared" si="35"/>
        <v>0.29999999999999716</v>
      </c>
      <c r="L72" s="3" t="s">
        <v>57</v>
      </c>
      <c r="M72" s="4">
        <v>8.4</v>
      </c>
      <c r="N72" s="4">
        <v>9.9</v>
      </c>
      <c r="O72" s="4">
        <v>73</v>
      </c>
      <c r="P72" s="4">
        <v>48.4</v>
      </c>
      <c r="Q72" s="4">
        <f t="shared" si="42"/>
        <v>1.5</v>
      </c>
      <c r="R72" s="5">
        <f t="shared" si="36"/>
        <v>24.6</v>
      </c>
      <c r="V72" s="3" t="s">
        <v>57</v>
      </c>
      <c r="W72" s="4">
        <v>8.4</v>
      </c>
      <c r="X72" s="4">
        <v>8.8000000000000007</v>
      </c>
      <c r="Y72" s="4">
        <v>73</v>
      </c>
      <c r="Z72" s="4">
        <v>93.2</v>
      </c>
      <c r="AA72" s="4">
        <f t="shared" si="43"/>
        <v>0.40000000000000036</v>
      </c>
      <c r="AB72" s="5">
        <f t="shared" si="37"/>
        <v>20.200000000000003</v>
      </c>
      <c r="AG72" s="3" t="s">
        <v>57</v>
      </c>
      <c r="AH72" s="4">
        <v>8.4</v>
      </c>
      <c r="AI72" s="4"/>
      <c r="AJ72" s="4">
        <v>73</v>
      </c>
      <c r="AK72" s="4">
        <v>220</v>
      </c>
      <c r="AL72" s="4">
        <f t="shared" si="44"/>
        <v>8.4</v>
      </c>
      <c r="AM72" s="5">
        <f t="shared" si="38"/>
        <v>147</v>
      </c>
      <c r="AR72" s="3" t="s">
        <v>57</v>
      </c>
      <c r="AS72" s="4">
        <v>8.4</v>
      </c>
      <c r="AT72" s="4">
        <v>9.8000000000000007</v>
      </c>
      <c r="AU72" s="4">
        <v>73</v>
      </c>
      <c r="AV72" s="4">
        <v>56.7</v>
      </c>
      <c r="AW72" s="4">
        <f t="shared" si="45"/>
        <v>1.4000000000000004</v>
      </c>
      <c r="AX72" s="5">
        <f t="shared" si="39"/>
        <v>16.299999999999997</v>
      </c>
      <c r="BC72" s="3" t="s">
        <v>57</v>
      </c>
      <c r="BD72" s="4">
        <v>8.4</v>
      </c>
      <c r="BE72" s="4">
        <v>10.41</v>
      </c>
      <c r="BF72" s="4">
        <v>73</v>
      </c>
      <c r="BG72" s="4">
        <v>67.650000000000006</v>
      </c>
      <c r="BH72" s="4">
        <f t="shared" si="46"/>
        <v>2.0099999999999998</v>
      </c>
      <c r="BI72" s="5">
        <f t="shared" si="40"/>
        <v>5.3499999999999943</v>
      </c>
    </row>
    <row r="73" spans="2:61" x14ac:dyDescent="0.25">
      <c r="B73" s="6"/>
      <c r="C73" s="7">
        <v>12</v>
      </c>
      <c r="D73" s="7">
        <v>14</v>
      </c>
      <c r="E73" s="7">
        <v>100</v>
      </c>
      <c r="F73" s="7">
        <v>72</v>
      </c>
      <c r="G73" s="7">
        <f t="shared" si="41"/>
        <v>2</v>
      </c>
      <c r="H73" s="8">
        <f t="shared" si="35"/>
        <v>28</v>
      </c>
      <c r="L73" s="6"/>
      <c r="M73" s="7">
        <v>12</v>
      </c>
      <c r="N73" s="7">
        <v>14.6</v>
      </c>
      <c r="O73" s="7">
        <v>100</v>
      </c>
      <c r="P73" s="7">
        <v>95.6</v>
      </c>
      <c r="Q73" s="7">
        <f t="shared" si="42"/>
        <v>2.5999999999999996</v>
      </c>
      <c r="R73" s="8">
        <f t="shared" si="36"/>
        <v>4.4000000000000057</v>
      </c>
      <c r="V73" s="6"/>
      <c r="W73" s="7">
        <v>12</v>
      </c>
      <c r="X73" s="7">
        <v>11.4</v>
      </c>
      <c r="Y73" s="7">
        <v>100</v>
      </c>
      <c r="Z73" s="7">
        <v>80</v>
      </c>
      <c r="AA73" s="7">
        <f t="shared" si="43"/>
        <v>0.59999999999999964</v>
      </c>
      <c r="AB73" s="8">
        <f t="shared" si="37"/>
        <v>20</v>
      </c>
      <c r="AG73" s="6"/>
      <c r="AH73" s="7">
        <v>12</v>
      </c>
      <c r="AI73" s="7"/>
      <c r="AJ73" s="7">
        <v>100</v>
      </c>
      <c r="AK73" s="7">
        <v>88.8</v>
      </c>
      <c r="AL73" s="7">
        <f t="shared" si="44"/>
        <v>12</v>
      </c>
      <c r="AM73" s="8">
        <f t="shared" si="38"/>
        <v>11.200000000000003</v>
      </c>
      <c r="AR73" s="6"/>
      <c r="AS73" s="7">
        <v>12</v>
      </c>
      <c r="AT73" s="7">
        <v>11.3</v>
      </c>
      <c r="AU73" s="7">
        <v>100</v>
      </c>
      <c r="AV73" s="7">
        <v>78</v>
      </c>
      <c r="AW73" s="7">
        <f t="shared" si="45"/>
        <v>0.69999999999999929</v>
      </c>
      <c r="AX73" s="8">
        <f t="shared" si="39"/>
        <v>22</v>
      </c>
      <c r="BC73" s="6"/>
      <c r="BD73" s="7">
        <v>12</v>
      </c>
      <c r="BE73" s="7">
        <v>11.21</v>
      </c>
      <c r="BF73" s="7">
        <v>100</v>
      </c>
      <c r="BG73" s="7">
        <v>77.25</v>
      </c>
      <c r="BH73" s="7">
        <f t="shared" si="46"/>
        <v>0.78999999999999915</v>
      </c>
      <c r="BI73" s="8">
        <f t="shared" si="40"/>
        <v>22.75</v>
      </c>
    </row>
    <row r="74" spans="2:61" x14ac:dyDescent="0.25">
      <c r="B74" s="3" t="s">
        <v>58</v>
      </c>
      <c r="C74" s="4">
        <v>8.8000000000000007</v>
      </c>
      <c r="D74" s="4">
        <v>8.5</v>
      </c>
      <c r="E74" s="4">
        <v>68</v>
      </c>
      <c r="F74" s="4">
        <v>72.3</v>
      </c>
      <c r="G74" s="4">
        <f t="shared" si="41"/>
        <v>0.30000000000000071</v>
      </c>
      <c r="H74" s="5">
        <f t="shared" si="35"/>
        <v>4.2999999999999972</v>
      </c>
      <c r="L74" s="3" t="s">
        <v>58</v>
      </c>
      <c r="M74" s="4">
        <v>8.8000000000000007</v>
      </c>
      <c r="N74" s="4">
        <v>9.3000000000000007</v>
      </c>
      <c r="O74" s="4">
        <v>68</v>
      </c>
      <c r="P74" s="4">
        <v>89.6</v>
      </c>
      <c r="Q74" s="4">
        <f t="shared" si="42"/>
        <v>0.5</v>
      </c>
      <c r="R74" s="5">
        <f t="shared" si="36"/>
        <v>21.599999999999994</v>
      </c>
      <c r="V74" s="3" t="s">
        <v>58</v>
      </c>
      <c r="W74" s="4">
        <v>8.8000000000000007</v>
      </c>
      <c r="X74" s="4">
        <v>8.1999999999999993</v>
      </c>
      <c r="Y74" s="4">
        <v>68</v>
      </c>
      <c r="Z74" s="4">
        <v>91.7</v>
      </c>
      <c r="AA74" s="4">
        <f t="shared" si="43"/>
        <v>0.60000000000000142</v>
      </c>
      <c r="AB74" s="5">
        <f t="shared" si="37"/>
        <v>23.700000000000003</v>
      </c>
      <c r="AG74" s="3" t="s">
        <v>58</v>
      </c>
      <c r="AH74" s="4">
        <v>8.8000000000000007</v>
      </c>
      <c r="AI74" s="4"/>
      <c r="AJ74" s="4">
        <v>68</v>
      </c>
      <c r="AK74" s="4">
        <v>95.5</v>
      </c>
      <c r="AL74" s="4">
        <f t="shared" si="44"/>
        <v>8.8000000000000007</v>
      </c>
      <c r="AM74" s="5">
        <f t="shared" si="38"/>
        <v>27.5</v>
      </c>
      <c r="AR74" s="3" t="s">
        <v>58</v>
      </c>
      <c r="AS74" s="4">
        <v>8.8000000000000007</v>
      </c>
      <c r="AT74" s="4">
        <v>8.6</v>
      </c>
      <c r="AU74" s="4">
        <v>68</v>
      </c>
      <c r="AV74" s="4">
        <v>76.599999999999994</v>
      </c>
      <c r="AW74" s="4">
        <f t="shared" si="45"/>
        <v>0.20000000000000107</v>
      </c>
      <c r="AX74" s="5">
        <f t="shared" si="39"/>
        <v>8.5999999999999943</v>
      </c>
      <c r="BC74" s="3" t="s">
        <v>58</v>
      </c>
      <c r="BD74" s="4">
        <v>8.8000000000000007</v>
      </c>
      <c r="BE74" s="4">
        <v>8.41</v>
      </c>
      <c r="BF74" s="4">
        <v>68</v>
      </c>
      <c r="BG74" s="4">
        <v>72.45</v>
      </c>
      <c r="BH74" s="4">
        <f t="shared" si="46"/>
        <v>0.39000000000000057</v>
      </c>
      <c r="BI74" s="5">
        <f t="shared" si="40"/>
        <v>4.4500000000000028</v>
      </c>
    </row>
    <row r="75" spans="2:61" x14ac:dyDescent="0.25">
      <c r="B75" s="6"/>
      <c r="C75" s="7">
        <v>8</v>
      </c>
      <c r="D75" s="7">
        <v>7.4</v>
      </c>
      <c r="E75" s="7">
        <v>97</v>
      </c>
      <c r="F75" s="7">
        <v>92.4</v>
      </c>
      <c r="G75" s="7">
        <f t="shared" si="41"/>
        <v>0.59999999999999964</v>
      </c>
      <c r="H75" s="8">
        <f t="shared" si="35"/>
        <v>4.5999999999999943</v>
      </c>
      <c r="L75" s="6"/>
      <c r="M75" s="7">
        <v>8</v>
      </c>
      <c r="N75" s="7">
        <v>9.4</v>
      </c>
      <c r="O75" s="7">
        <v>97</v>
      </c>
      <c r="P75" s="7">
        <v>90.8</v>
      </c>
      <c r="Q75" s="7">
        <f t="shared" si="42"/>
        <v>1.4000000000000004</v>
      </c>
      <c r="R75" s="8">
        <f t="shared" si="36"/>
        <v>6.2000000000000028</v>
      </c>
      <c r="V75" s="6"/>
      <c r="W75" s="7">
        <v>8</v>
      </c>
      <c r="X75" s="7">
        <v>7</v>
      </c>
      <c r="Y75" s="7">
        <v>97</v>
      </c>
      <c r="Z75" s="7">
        <v>90</v>
      </c>
      <c r="AA75" s="7">
        <f t="shared" si="43"/>
        <v>1</v>
      </c>
      <c r="AB75" s="8">
        <f t="shared" si="37"/>
        <v>7</v>
      </c>
      <c r="AG75" s="6"/>
      <c r="AH75" s="7">
        <v>8</v>
      </c>
      <c r="AI75" s="7"/>
      <c r="AJ75" s="7">
        <v>97</v>
      </c>
      <c r="AK75" s="7">
        <v>153</v>
      </c>
      <c r="AL75" s="7">
        <f t="shared" si="44"/>
        <v>8</v>
      </c>
      <c r="AM75" s="8">
        <f t="shared" si="38"/>
        <v>56</v>
      </c>
      <c r="AR75" s="6"/>
      <c r="AS75" s="7">
        <v>8</v>
      </c>
      <c r="AT75" s="7">
        <v>7.6</v>
      </c>
      <c r="AU75" s="7">
        <v>97</v>
      </c>
      <c r="AV75" s="7">
        <v>94.8</v>
      </c>
      <c r="AW75" s="7">
        <f t="shared" si="45"/>
        <v>0.40000000000000036</v>
      </c>
      <c r="AX75" s="8">
        <f t="shared" si="39"/>
        <v>2.2000000000000028</v>
      </c>
      <c r="BC75" s="6"/>
      <c r="BD75" s="7">
        <v>8</v>
      </c>
      <c r="BE75" s="7">
        <v>7.61</v>
      </c>
      <c r="BF75" s="7">
        <v>97</v>
      </c>
      <c r="BG75" s="7">
        <v>90.86</v>
      </c>
      <c r="BH75" s="7">
        <f t="shared" si="46"/>
        <v>0.38999999999999968</v>
      </c>
      <c r="BI75" s="8">
        <f t="shared" si="40"/>
        <v>6.1400000000000006</v>
      </c>
    </row>
    <row r="76" spans="2:61" x14ac:dyDescent="0.25">
      <c r="B76" s="3" t="s">
        <v>59</v>
      </c>
      <c r="C76" s="4">
        <v>8.8000000000000007</v>
      </c>
      <c r="D76" s="4">
        <v>8.3000000000000007</v>
      </c>
      <c r="E76" s="4">
        <v>70</v>
      </c>
      <c r="F76" s="4">
        <v>84.6</v>
      </c>
      <c r="G76">
        <f t="shared" si="41"/>
        <v>0.5</v>
      </c>
      <c r="H76" s="13">
        <f t="shared" si="35"/>
        <v>14.599999999999994</v>
      </c>
      <c r="L76" s="3" t="s">
        <v>59</v>
      </c>
      <c r="M76" s="4">
        <v>8.8000000000000007</v>
      </c>
      <c r="N76" s="4">
        <v>9.1999999999999993</v>
      </c>
      <c r="O76" s="4">
        <v>70</v>
      </c>
      <c r="P76" s="4">
        <v>116.4</v>
      </c>
      <c r="Q76" s="4">
        <f t="shared" si="42"/>
        <v>0.39999999999999858</v>
      </c>
      <c r="R76" s="5">
        <f t="shared" si="36"/>
        <v>46.400000000000006</v>
      </c>
      <c r="V76" s="3" t="s">
        <v>59</v>
      </c>
      <c r="W76" s="4">
        <v>8.8000000000000007</v>
      </c>
      <c r="X76" s="4">
        <v>8.1999999999999993</v>
      </c>
      <c r="Y76" s="4">
        <v>70</v>
      </c>
      <c r="Z76" s="4">
        <v>88.8</v>
      </c>
      <c r="AA76">
        <f t="shared" si="43"/>
        <v>0.60000000000000142</v>
      </c>
      <c r="AB76" s="13">
        <f t="shared" si="37"/>
        <v>18.799999999999997</v>
      </c>
      <c r="AG76" s="3" t="s">
        <v>59</v>
      </c>
      <c r="AH76" s="4">
        <v>8.8000000000000007</v>
      </c>
      <c r="AI76" s="4"/>
      <c r="AJ76" s="4">
        <v>70</v>
      </c>
      <c r="AK76" s="4">
        <v>195</v>
      </c>
      <c r="AL76">
        <f t="shared" si="44"/>
        <v>8.8000000000000007</v>
      </c>
      <c r="AM76" s="13">
        <f t="shared" si="38"/>
        <v>125</v>
      </c>
      <c r="AR76" s="3" t="s">
        <v>59</v>
      </c>
      <c r="AS76" s="4">
        <v>8.8000000000000007</v>
      </c>
      <c r="AT76" s="4">
        <v>8.6</v>
      </c>
      <c r="AU76" s="4">
        <v>70</v>
      </c>
      <c r="AV76" s="4">
        <v>72.400000000000006</v>
      </c>
      <c r="AW76" s="4">
        <f t="shared" si="45"/>
        <v>0.20000000000000107</v>
      </c>
      <c r="AX76" s="5">
        <f t="shared" si="39"/>
        <v>2.4000000000000057</v>
      </c>
      <c r="BC76" s="3" t="s">
        <v>59</v>
      </c>
      <c r="BD76" s="4">
        <v>8.8000000000000007</v>
      </c>
      <c r="BE76" s="4">
        <v>8.81</v>
      </c>
      <c r="BF76" s="4">
        <v>70</v>
      </c>
      <c r="BG76" s="4">
        <v>58.44</v>
      </c>
      <c r="BH76" s="4">
        <f t="shared" si="46"/>
        <v>9.9999999999997868E-3</v>
      </c>
      <c r="BI76" s="5">
        <f t="shared" si="40"/>
        <v>11.560000000000002</v>
      </c>
    </row>
    <row r="77" spans="2:61" x14ac:dyDescent="0.25">
      <c r="B77" s="6"/>
      <c r="C77" s="7">
        <v>9.1999999999999993</v>
      </c>
      <c r="D77" s="7">
        <v>8.3000000000000007</v>
      </c>
      <c r="E77" s="7">
        <v>94</v>
      </c>
      <c r="F77" s="7">
        <v>86.6</v>
      </c>
      <c r="G77" s="7">
        <f t="shared" si="41"/>
        <v>0.89999999999999858</v>
      </c>
      <c r="H77" s="8">
        <f t="shared" si="35"/>
        <v>7.4000000000000057</v>
      </c>
      <c r="L77" s="6"/>
      <c r="M77" s="7">
        <v>9.1999999999999993</v>
      </c>
      <c r="N77" s="7">
        <v>9.4</v>
      </c>
      <c r="O77" s="7">
        <v>94</v>
      </c>
      <c r="P77" s="7">
        <v>118.8</v>
      </c>
      <c r="Q77" s="7">
        <f t="shared" si="42"/>
        <v>0.20000000000000107</v>
      </c>
      <c r="R77" s="8">
        <f t="shared" si="36"/>
        <v>24.799999999999997</v>
      </c>
      <c r="V77" s="6"/>
      <c r="W77" s="7">
        <v>9.1999999999999993</v>
      </c>
      <c r="X77" s="7">
        <v>8.1999999999999993</v>
      </c>
      <c r="Y77" s="7">
        <v>94</v>
      </c>
      <c r="Z77" s="7">
        <v>94</v>
      </c>
      <c r="AA77" s="7">
        <f t="shared" si="43"/>
        <v>1</v>
      </c>
      <c r="AB77" s="8">
        <f t="shared" si="37"/>
        <v>0</v>
      </c>
      <c r="AG77" s="6"/>
      <c r="AH77" s="7">
        <v>9.1999999999999993</v>
      </c>
      <c r="AI77" s="7"/>
      <c r="AJ77" s="7">
        <v>94</v>
      </c>
      <c r="AK77" s="7">
        <v>88</v>
      </c>
      <c r="AL77" s="7">
        <f t="shared" si="44"/>
        <v>9.1999999999999993</v>
      </c>
      <c r="AM77" s="8">
        <f t="shared" si="38"/>
        <v>6</v>
      </c>
      <c r="AR77" s="6"/>
      <c r="AS77" s="7">
        <v>9.1999999999999993</v>
      </c>
      <c r="AT77" s="7">
        <v>7.8</v>
      </c>
      <c r="AU77" s="7">
        <v>94</v>
      </c>
      <c r="AV77" s="7">
        <v>95.4</v>
      </c>
      <c r="AW77" s="7">
        <f t="shared" si="45"/>
        <v>1.3999999999999995</v>
      </c>
      <c r="AX77" s="8">
        <f t="shared" si="39"/>
        <v>1.4000000000000057</v>
      </c>
      <c r="BC77" s="6"/>
      <c r="BD77" s="7">
        <v>9.1999999999999993</v>
      </c>
      <c r="BE77" s="7">
        <v>7.61</v>
      </c>
      <c r="BF77" s="7">
        <v>94</v>
      </c>
      <c r="BG77" s="7">
        <v>84.06</v>
      </c>
      <c r="BH77" s="7">
        <f t="shared" si="46"/>
        <v>1.589999999999999</v>
      </c>
      <c r="BI77" s="8">
        <f t="shared" si="40"/>
        <v>9.9399999999999977</v>
      </c>
    </row>
    <row r="78" spans="2:61" x14ac:dyDescent="0.25">
      <c r="B78" s="3" t="s">
        <v>26</v>
      </c>
      <c r="C78" s="4">
        <v>16.5</v>
      </c>
      <c r="D78" s="4">
        <v>16.2</v>
      </c>
      <c r="E78" s="4">
        <v>100</v>
      </c>
      <c r="F78" s="4">
        <v>93.8</v>
      </c>
      <c r="G78">
        <f t="shared" ref="G78:G87" si="47">ABS(C78-D78)</f>
        <v>0.30000000000000071</v>
      </c>
      <c r="H78" s="13">
        <f t="shared" ref="H78:H87" si="48">ABS(E78-F78)</f>
        <v>6.2000000000000028</v>
      </c>
      <c r="L78" s="3" t="s">
        <v>26</v>
      </c>
      <c r="M78" s="4">
        <v>16.5</v>
      </c>
      <c r="N78" s="4">
        <v>16.899999999999999</v>
      </c>
      <c r="O78" s="4">
        <v>100</v>
      </c>
      <c r="P78" s="4">
        <v>100</v>
      </c>
      <c r="Q78">
        <f t="shared" ref="Q78:Q87" si="49">ABS(M78-N78)</f>
        <v>0.39999999999999858</v>
      </c>
      <c r="R78" s="13">
        <f t="shared" ref="R78:R87" si="50">ABS(O78-P78)</f>
        <v>0</v>
      </c>
      <c r="V78" s="3" t="s">
        <v>26</v>
      </c>
      <c r="W78" s="4">
        <v>16.5</v>
      </c>
      <c r="X78" s="4">
        <v>17.600000000000001</v>
      </c>
      <c r="Y78" s="4">
        <v>100</v>
      </c>
      <c r="Z78" s="4">
        <v>100</v>
      </c>
      <c r="AA78" s="4">
        <f t="shared" ref="AA78:AA87" si="51">ABS(W78-X78)</f>
        <v>1.1000000000000014</v>
      </c>
      <c r="AB78" s="5">
        <f t="shared" ref="AB78:AB87" si="52">ABS(Y78-Z78)</f>
        <v>0</v>
      </c>
      <c r="AG78" s="3" t="s">
        <v>26</v>
      </c>
      <c r="AH78" s="4">
        <v>16.5</v>
      </c>
      <c r="AI78" s="4"/>
      <c r="AJ78" s="4">
        <v>100</v>
      </c>
      <c r="AK78" s="4">
        <v>108</v>
      </c>
      <c r="AL78">
        <f t="shared" ref="AL78:AL87" si="53">ABS(AH78-AI78)</f>
        <v>16.5</v>
      </c>
      <c r="AM78" s="13">
        <f t="shared" ref="AM78:AM87" si="54">ABS(AJ78-AK78)</f>
        <v>8</v>
      </c>
      <c r="AR78" s="3" t="s">
        <v>26</v>
      </c>
      <c r="AS78" s="4">
        <v>16.5</v>
      </c>
      <c r="AT78" s="4">
        <v>17</v>
      </c>
      <c r="AU78" s="4">
        <v>100</v>
      </c>
      <c r="AV78" s="4">
        <v>95.9</v>
      </c>
      <c r="AW78">
        <f t="shared" ref="AW78:AW87" si="55">ABS(AS78-AT78)</f>
        <v>0.5</v>
      </c>
      <c r="AX78" s="13">
        <f t="shared" ref="AX78:AX87" si="56">ABS(AU78-AV78)</f>
        <v>4.0999999999999943</v>
      </c>
      <c r="BC78" s="3" t="s">
        <v>26</v>
      </c>
      <c r="BD78" s="4">
        <v>16.5</v>
      </c>
      <c r="BE78" s="4"/>
      <c r="BF78" s="4">
        <v>100</v>
      </c>
      <c r="BG78" s="4"/>
      <c r="BH78">
        <f t="shared" si="46"/>
        <v>16.5</v>
      </c>
      <c r="BI78" s="13">
        <f t="shared" si="40"/>
        <v>100</v>
      </c>
    </row>
    <row r="79" spans="2:61" x14ac:dyDescent="0.25">
      <c r="B79" s="6"/>
      <c r="C79" s="7">
        <v>12.5</v>
      </c>
      <c r="D79" s="7">
        <v>11</v>
      </c>
      <c r="E79" s="7">
        <v>75</v>
      </c>
      <c r="F79" s="7">
        <v>80</v>
      </c>
      <c r="G79" s="7">
        <f t="shared" si="47"/>
        <v>1.5</v>
      </c>
      <c r="H79" s="8">
        <f t="shared" si="48"/>
        <v>5</v>
      </c>
      <c r="L79" s="6"/>
      <c r="M79" s="7">
        <v>12.5</v>
      </c>
      <c r="N79" s="7">
        <v>11.7</v>
      </c>
      <c r="O79" s="7">
        <v>75</v>
      </c>
      <c r="P79" s="7">
        <v>55.5</v>
      </c>
      <c r="Q79" s="7">
        <f t="shared" si="49"/>
        <v>0.80000000000000071</v>
      </c>
      <c r="R79" s="8">
        <f t="shared" si="50"/>
        <v>19.5</v>
      </c>
      <c r="V79" s="6"/>
      <c r="W79" s="7">
        <v>12.5</v>
      </c>
      <c r="X79" s="7">
        <v>11</v>
      </c>
      <c r="Y79" s="7">
        <v>75</v>
      </c>
      <c r="Z79" s="7">
        <v>105.5</v>
      </c>
      <c r="AA79" s="7">
        <f t="shared" si="51"/>
        <v>1.5</v>
      </c>
      <c r="AB79" s="8">
        <f t="shared" si="52"/>
        <v>30.5</v>
      </c>
      <c r="AG79" s="6"/>
      <c r="AH79" s="7">
        <v>12.5</v>
      </c>
      <c r="AI79" s="7"/>
      <c r="AJ79" s="7">
        <v>75</v>
      </c>
      <c r="AK79" s="7">
        <v>62</v>
      </c>
      <c r="AL79" s="7">
        <f t="shared" si="53"/>
        <v>12.5</v>
      </c>
      <c r="AM79" s="8">
        <f t="shared" si="54"/>
        <v>13</v>
      </c>
      <c r="AR79" s="6"/>
      <c r="AS79" s="7">
        <v>12.5</v>
      </c>
      <c r="AT79" s="7">
        <v>11</v>
      </c>
      <c r="AU79" s="7">
        <v>75</v>
      </c>
      <c r="AV79" s="7">
        <v>69.3</v>
      </c>
      <c r="AW79" s="7">
        <f t="shared" si="55"/>
        <v>1.5</v>
      </c>
      <c r="AX79" s="8">
        <f t="shared" si="56"/>
        <v>5.7000000000000028</v>
      </c>
      <c r="BC79" s="6"/>
      <c r="BD79" s="7">
        <v>12.5</v>
      </c>
      <c r="BE79" s="7"/>
      <c r="BF79" s="7">
        <v>75</v>
      </c>
      <c r="BG79" s="7"/>
      <c r="BH79" s="7">
        <f t="shared" si="46"/>
        <v>12.5</v>
      </c>
      <c r="BI79" s="8">
        <f t="shared" si="40"/>
        <v>75</v>
      </c>
    </row>
    <row r="80" spans="2:61" x14ac:dyDescent="0.25">
      <c r="B80" s="3" t="s">
        <v>27</v>
      </c>
      <c r="C80" s="4">
        <v>10</v>
      </c>
      <c r="D80" s="4">
        <v>10</v>
      </c>
      <c r="E80" s="4">
        <v>72</v>
      </c>
      <c r="F80" s="4">
        <v>78.8</v>
      </c>
      <c r="G80" s="4">
        <f t="shared" si="47"/>
        <v>0</v>
      </c>
      <c r="H80" s="5">
        <f t="shared" si="48"/>
        <v>6.7999999999999972</v>
      </c>
      <c r="L80" s="3" t="s">
        <v>27</v>
      </c>
      <c r="M80" s="4">
        <v>10</v>
      </c>
      <c r="N80" s="4">
        <v>8.3000000000000007</v>
      </c>
      <c r="O80" s="4">
        <v>72</v>
      </c>
      <c r="P80" s="4">
        <v>49.5</v>
      </c>
      <c r="Q80" s="4">
        <f t="shared" si="49"/>
        <v>1.6999999999999993</v>
      </c>
      <c r="R80" s="5">
        <f t="shared" si="50"/>
        <v>22.5</v>
      </c>
      <c r="V80" s="3" t="s">
        <v>27</v>
      </c>
      <c r="W80" s="4">
        <v>10</v>
      </c>
      <c r="X80" s="4">
        <v>10.3</v>
      </c>
      <c r="Y80" s="4">
        <v>72</v>
      </c>
      <c r="Z80" s="4">
        <v>101.8</v>
      </c>
      <c r="AA80" s="4">
        <f t="shared" si="51"/>
        <v>0.30000000000000071</v>
      </c>
      <c r="AB80" s="5">
        <f t="shared" si="52"/>
        <v>29.799999999999997</v>
      </c>
      <c r="AG80" s="3" t="s">
        <v>27</v>
      </c>
      <c r="AH80" s="4">
        <v>10</v>
      </c>
      <c r="AI80" s="4"/>
      <c r="AJ80" s="4">
        <v>72</v>
      </c>
      <c r="AK80" s="4">
        <v>157</v>
      </c>
      <c r="AL80" s="4">
        <f t="shared" si="53"/>
        <v>10</v>
      </c>
      <c r="AM80" s="5">
        <f t="shared" si="54"/>
        <v>85</v>
      </c>
      <c r="AR80" s="3" t="s">
        <v>27</v>
      </c>
      <c r="AS80" s="4">
        <v>10</v>
      </c>
      <c r="AT80" s="4">
        <v>9.8000000000000007</v>
      </c>
      <c r="AU80" s="4">
        <v>72</v>
      </c>
      <c r="AV80" s="4">
        <v>92</v>
      </c>
      <c r="AW80" s="4">
        <f t="shared" si="55"/>
        <v>0.19999999999999929</v>
      </c>
      <c r="AX80" s="5">
        <f t="shared" si="56"/>
        <v>20</v>
      </c>
      <c r="BC80" s="3" t="s">
        <v>27</v>
      </c>
      <c r="BD80" s="4">
        <v>10</v>
      </c>
      <c r="BE80" s="4"/>
      <c r="BF80" s="4">
        <v>72</v>
      </c>
      <c r="BG80" s="4"/>
      <c r="BH80" s="4">
        <f t="shared" si="46"/>
        <v>10</v>
      </c>
      <c r="BI80" s="5">
        <f t="shared" si="40"/>
        <v>72</v>
      </c>
    </row>
    <row r="81" spans="2:61" x14ac:dyDescent="0.25">
      <c r="B81" s="6"/>
      <c r="C81" s="7">
        <v>17.5</v>
      </c>
      <c r="D81" s="7">
        <v>17</v>
      </c>
      <c r="E81" s="7">
        <v>111</v>
      </c>
      <c r="F81" s="7">
        <v>74.3</v>
      </c>
      <c r="G81" s="7">
        <f t="shared" si="47"/>
        <v>0.5</v>
      </c>
      <c r="H81" s="8">
        <f t="shared" si="48"/>
        <v>36.700000000000003</v>
      </c>
      <c r="L81" s="6"/>
      <c r="M81" s="7">
        <v>17.5</v>
      </c>
      <c r="N81" s="7">
        <v>17.2</v>
      </c>
      <c r="O81" s="7">
        <v>111</v>
      </c>
      <c r="P81" s="7">
        <v>63.5</v>
      </c>
      <c r="Q81" s="7">
        <f t="shared" si="49"/>
        <v>0.30000000000000071</v>
      </c>
      <c r="R81" s="8">
        <f t="shared" si="50"/>
        <v>47.5</v>
      </c>
      <c r="V81" s="6"/>
      <c r="W81" s="7">
        <v>17.5</v>
      </c>
      <c r="X81" s="7">
        <v>16.899999999999999</v>
      </c>
      <c r="Y81" s="7">
        <v>111</v>
      </c>
      <c r="Z81" s="7">
        <v>102.2</v>
      </c>
      <c r="AA81" s="7">
        <f t="shared" si="51"/>
        <v>0.60000000000000142</v>
      </c>
      <c r="AB81" s="8">
        <f t="shared" si="52"/>
        <v>8.7999999999999972</v>
      </c>
      <c r="AG81" s="6"/>
      <c r="AH81" s="7">
        <v>17.5</v>
      </c>
      <c r="AI81" s="7"/>
      <c r="AJ81" s="7">
        <v>111</v>
      </c>
      <c r="AK81" s="7">
        <v>75.3</v>
      </c>
      <c r="AL81" s="7">
        <f t="shared" si="53"/>
        <v>17.5</v>
      </c>
      <c r="AM81" s="8">
        <f t="shared" si="54"/>
        <v>35.700000000000003</v>
      </c>
      <c r="AR81" s="6"/>
      <c r="AS81" s="7">
        <v>17.5</v>
      </c>
      <c r="AT81" s="7">
        <v>16.5</v>
      </c>
      <c r="AU81" s="7">
        <v>111</v>
      </c>
      <c r="AV81" s="7">
        <v>62</v>
      </c>
      <c r="AW81" s="7">
        <f t="shared" si="55"/>
        <v>1</v>
      </c>
      <c r="AX81" s="8">
        <f t="shared" si="56"/>
        <v>49</v>
      </c>
      <c r="BC81" s="6"/>
      <c r="BD81" s="7">
        <v>17.5</v>
      </c>
      <c r="BE81" s="7"/>
      <c r="BF81" s="7">
        <v>111</v>
      </c>
      <c r="BG81" s="7"/>
      <c r="BH81" s="7">
        <f t="shared" si="46"/>
        <v>17.5</v>
      </c>
      <c r="BI81" s="8">
        <f t="shared" si="40"/>
        <v>111</v>
      </c>
    </row>
    <row r="82" spans="2:61" x14ac:dyDescent="0.25">
      <c r="B82" s="3" t="s">
        <v>28</v>
      </c>
      <c r="C82" s="4">
        <v>15.5</v>
      </c>
      <c r="D82" s="4">
        <v>14.6</v>
      </c>
      <c r="E82" s="4">
        <v>94</v>
      </c>
      <c r="F82" s="4">
        <v>85.5</v>
      </c>
      <c r="G82" s="4">
        <f t="shared" si="47"/>
        <v>0.90000000000000036</v>
      </c>
      <c r="H82" s="5">
        <f t="shared" si="48"/>
        <v>8.5</v>
      </c>
      <c r="L82" s="3" t="s">
        <v>28</v>
      </c>
      <c r="M82" s="4">
        <v>15.5</v>
      </c>
      <c r="N82" s="4">
        <v>14.6</v>
      </c>
      <c r="O82" s="4">
        <v>94</v>
      </c>
      <c r="P82" s="4">
        <v>72</v>
      </c>
      <c r="Q82" s="4">
        <f t="shared" si="49"/>
        <v>0.90000000000000036</v>
      </c>
      <c r="R82" s="5">
        <f t="shared" si="50"/>
        <v>22</v>
      </c>
      <c r="V82" s="3" t="s">
        <v>28</v>
      </c>
      <c r="W82" s="4">
        <v>15.5</v>
      </c>
      <c r="X82" s="4">
        <v>13.9</v>
      </c>
      <c r="Y82" s="4">
        <v>94</v>
      </c>
      <c r="Z82" s="4">
        <v>108.4</v>
      </c>
      <c r="AA82" s="4">
        <f t="shared" si="51"/>
        <v>1.5999999999999996</v>
      </c>
      <c r="AB82" s="5">
        <f t="shared" si="52"/>
        <v>14.400000000000006</v>
      </c>
      <c r="AG82" s="3" t="s">
        <v>28</v>
      </c>
      <c r="AH82" s="4">
        <v>15.5</v>
      </c>
      <c r="AI82" s="4"/>
      <c r="AJ82" s="4">
        <v>94</v>
      </c>
      <c r="AK82" s="4">
        <v>75</v>
      </c>
      <c r="AL82" s="4">
        <f t="shared" si="53"/>
        <v>15.5</v>
      </c>
      <c r="AM82" s="5">
        <f t="shared" si="54"/>
        <v>19</v>
      </c>
      <c r="AR82" s="3" t="s">
        <v>28</v>
      </c>
      <c r="AS82" s="4">
        <v>15.5</v>
      </c>
      <c r="AT82" s="4">
        <v>15.6</v>
      </c>
      <c r="AU82" s="4">
        <v>94</v>
      </c>
      <c r="AV82" s="4">
        <v>74</v>
      </c>
      <c r="AW82" s="4">
        <f t="shared" si="55"/>
        <v>9.9999999999999645E-2</v>
      </c>
      <c r="AX82" s="5">
        <f t="shared" si="56"/>
        <v>20</v>
      </c>
      <c r="BC82" s="3" t="s">
        <v>28</v>
      </c>
      <c r="BD82" s="4">
        <v>15.5</v>
      </c>
      <c r="BE82" s="4"/>
      <c r="BF82" s="4">
        <v>94</v>
      </c>
      <c r="BG82" s="4"/>
      <c r="BH82" s="4">
        <f t="shared" si="46"/>
        <v>15.5</v>
      </c>
      <c r="BI82" s="5">
        <f t="shared" si="40"/>
        <v>94</v>
      </c>
    </row>
    <row r="83" spans="2:61" x14ac:dyDescent="0.25">
      <c r="B83" s="6"/>
      <c r="C83" s="7">
        <v>13</v>
      </c>
      <c r="D83" s="7">
        <v>12.2</v>
      </c>
      <c r="E83" s="7">
        <v>94</v>
      </c>
      <c r="F83" s="7">
        <v>76</v>
      </c>
      <c r="G83" s="7">
        <f t="shared" si="47"/>
        <v>0.80000000000000071</v>
      </c>
      <c r="H83" s="8">
        <f t="shared" si="48"/>
        <v>18</v>
      </c>
      <c r="L83" s="6"/>
      <c r="M83" s="7">
        <v>13</v>
      </c>
      <c r="N83" s="7">
        <v>12.2</v>
      </c>
      <c r="O83" s="7">
        <v>94</v>
      </c>
      <c r="P83" s="7">
        <v>63.5</v>
      </c>
      <c r="Q83" s="7">
        <f t="shared" si="49"/>
        <v>0.80000000000000071</v>
      </c>
      <c r="R83" s="8">
        <f t="shared" si="50"/>
        <v>30.5</v>
      </c>
      <c r="V83" s="6"/>
      <c r="W83" s="7">
        <v>13</v>
      </c>
      <c r="X83" s="7">
        <v>11.7</v>
      </c>
      <c r="Y83" s="7">
        <v>94</v>
      </c>
      <c r="Z83" s="7">
        <v>104.4</v>
      </c>
      <c r="AA83" s="7">
        <f t="shared" si="51"/>
        <v>1.3000000000000007</v>
      </c>
      <c r="AB83" s="8">
        <f t="shared" si="52"/>
        <v>10.400000000000006</v>
      </c>
      <c r="AG83" s="6"/>
      <c r="AH83" s="7">
        <v>13</v>
      </c>
      <c r="AI83" s="7"/>
      <c r="AJ83" s="7">
        <v>94</v>
      </c>
      <c r="AK83" s="7">
        <v>115.5</v>
      </c>
      <c r="AL83" s="7">
        <f t="shared" si="53"/>
        <v>13</v>
      </c>
      <c r="AM83" s="8">
        <f t="shared" si="54"/>
        <v>21.5</v>
      </c>
      <c r="AR83" s="6"/>
      <c r="AS83" s="7">
        <v>13</v>
      </c>
      <c r="AT83" s="7">
        <v>11.3</v>
      </c>
      <c r="AU83" s="7">
        <v>94</v>
      </c>
      <c r="AV83" s="7">
        <v>62.3</v>
      </c>
      <c r="AW83" s="7">
        <f t="shared" si="55"/>
        <v>1.6999999999999993</v>
      </c>
      <c r="AX83" s="8">
        <f t="shared" si="56"/>
        <v>31.700000000000003</v>
      </c>
      <c r="BC83" s="6"/>
      <c r="BD83" s="7">
        <v>13</v>
      </c>
      <c r="BE83" s="7"/>
      <c r="BF83" s="7">
        <v>94</v>
      </c>
      <c r="BG83" s="7"/>
      <c r="BH83" s="7">
        <f t="shared" si="46"/>
        <v>13</v>
      </c>
      <c r="BI83" s="8">
        <f t="shared" si="40"/>
        <v>94</v>
      </c>
    </row>
    <row r="84" spans="2:61" x14ac:dyDescent="0.25">
      <c r="B84" s="3" t="s">
        <v>29</v>
      </c>
      <c r="C84" s="4">
        <v>14.5</v>
      </c>
      <c r="D84" s="4">
        <v>13.9</v>
      </c>
      <c r="E84" s="4">
        <v>104</v>
      </c>
      <c r="F84" s="4">
        <v>98.2</v>
      </c>
      <c r="G84" s="4">
        <f t="shared" si="47"/>
        <v>0.59999999999999964</v>
      </c>
      <c r="H84" s="5">
        <f t="shared" si="48"/>
        <v>5.7999999999999972</v>
      </c>
      <c r="L84" s="3" t="s">
        <v>29</v>
      </c>
      <c r="M84" s="4">
        <v>14.5</v>
      </c>
      <c r="N84" s="4">
        <v>13.6</v>
      </c>
      <c r="O84" s="4">
        <v>104</v>
      </c>
      <c r="P84" s="4">
        <v>105</v>
      </c>
      <c r="Q84" s="4">
        <f t="shared" si="49"/>
        <v>0.90000000000000036</v>
      </c>
      <c r="R84" s="5">
        <f t="shared" si="50"/>
        <v>1</v>
      </c>
      <c r="V84" s="3" t="s">
        <v>29</v>
      </c>
      <c r="W84" s="4">
        <v>14.5</v>
      </c>
      <c r="X84" s="4">
        <v>13.9</v>
      </c>
      <c r="Y84" s="4">
        <v>104</v>
      </c>
      <c r="Z84" s="4">
        <v>105.8</v>
      </c>
      <c r="AA84" s="4">
        <f t="shared" si="51"/>
        <v>0.59999999999999964</v>
      </c>
      <c r="AB84" s="5">
        <f t="shared" si="52"/>
        <v>1.7999999999999972</v>
      </c>
      <c r="AG84" s="3" t="s">
        <v>29</v>
      </c>
      <c r="AH84" s="4">
        <v>14.5</v>
      </c>
      <c r="AI84" s="4"/>
      <c r="AJ84" s="4">
        <v>104</v>
      </c>
      <c r="AK84" s="4">
        <v>120</v>
      </c>
      <c r="AL84" s="4">
        <f t="shared" si="53"/>
        <v>14.5</v>
      </c>
      <c r="AM84" s="5">
        <f t="shared" si="54"/>
        <v>16</v>
      </c>
      <c r="AR84" s="3" t="s">
        <v>29</v>
      </c>
      <c r="AS84" s="4">
        <v>14.5</v>
      </c>
      <c r="AT84" s="4">
        <v>15.5</v>
      </c>
      <c r="AU84" s="4">
        <v>104</v>
      </c>
      <c r="AV84" s="4">
        <v>84.1</v>
      </c>
      <c r="AW84" s="4">
        <f t="shared" si="55"/>
        <v>1</v>
      </c>
      <c r="AX84" s="5">
        <f t="shared" si="56"/>
        <v>19.900000000000006</v>
      </c>
      <c r="BC84" s="3" t="s">
        <v>29</v>
      </c>
      <c r="BD84" s="4">
        <v>14.5</v>
      </c>
      <c r="BE84" s="4"/>
      <c r="BF84" s="4">
        <v>104</v>
      </c>
      <c r="BG84" s="4"/>
      <c r="BH84" s="4">
        <f t="shared" si="46"/>
        <v>14.5</v>
      </c>
      <c r="BI84" s="5">
        <f t="shared" si="40"/>
        <v>104</v>
      </c>
    </row>
    <row r="85" spans="2:61" x14ac:dyDescent="0.25">
      <c r="B85" s="6"/>
      <c r="C85" s="7">
        <v>11</v>
      </c>
      <c r="D85" s="7">
        <v>10.5</v>
      </c>
      <c r="E85" s="7">
        <v>98</v>
      </c>
      <c r="F85" s="7">
        <v>76.3</v>
      </c>
      <c r="G85" s="7">
        <f t="shared" si="47"/>
        <v>0.5</v>
      </c>
      <c r="H85" s="8">
        <f t="shared" si="48"/>
        <v>21.700000000000003</v>
      </c>
      <c r="L85" s="6"/>
      <c r="M85" s="7">
        <v>11</v>
      </c>
      <c r="N85" s="7">
        <v>11.9</v>
      </c>
      <c r="O85" s="7">
        <v>98</v>
      </c>
      <c r="P85" s="7">
        <v>61.5</v>
      </c>
      <c r="Q85">
        <f t="shared" si="49"/>
        <v>0.90000000000000036</v>
      </c>
      <c r="R85" s="8">
        <f t="shared" si="50"/>
        <v>36.5</v>
      </c>
      <c r="V85" s="6"/>
      <c r="W85" s="7">
        <v>11</v>
      </c>
      <c r="X85" s="7">
        <v>10.3</v>
      </c>
      <c r="Y85" s="7">
        <v>98</v>
      </c>
      <c r="Z85" s="7">
        <v>107.7</v>
      </c>
      <c r="AA85">
        <f t="shared" si="51"/>
        <v>0.69999999999999929</v>
      </c>
      <c r="AB85" s="8">
        <f t="shared" si="52"/>
        <v>9.7000000000000028</v>
      </c>
      <c r="AG85" s="6"/>
      <c r="AH85" s="7">
        <v>11</v>
      </c>
      <c r="AI85" s="7"/>
      <c r="AJ85" s="7">
        <v>98</v>
      </c>
      <c r="AK85" s="7">
        <v>219</v>
      </c>
      <c r="AL85" s="7">
        <f t="shared" si="53"/>
        <v>11</v>
      </c>
      <c r="AM85" s="8">
        <f t="shared" si="54"/>
        <v>121</v>
      </c>
      <c r="AR85" s="6"/>
      <c r="AS85" s="7">
        <v>11</v>
      </c>
      <c r="AT85">
        <v>9.8000000000000007</v>
      </c>
      <c r="AU85" s="7">
        <v>98</v>
      </c>
      <c r="AV85" s="7">
        <v>75.8</v>
      </c>
      <c r="AW85" s="7">
        <f t="shared" si="55"/>
        <v>1.1999999999999993</v>
      </c>
      <c r="AX85" s="8">
        <f t="shared" si="56"/>
        <v>22.200000000000003</v>
      </c>
      <c r="BC85" s="6"/>
      <c r="BD85" s="7">
        <v>11</v>
      </c>
      <c r="BF85" s="7">
        <v>98</v>
      </c>
      <c r="BG85" s="7"/>
      <c r="BH85" s="7">
        <f t="shared" si="46"/>
        <v>11</v>
      </c>
      <c r="BI85" s="8">
        <f t="shared" si="40"/>
        <v>98</v>
      </c>
    </row>
    <row r="86" spans="2:61" x14ac:dyDescent="0.25">
      <c r="B86" s="3" t="s">
        <v>111</v>
      </c>
      <c r="C86" s="4">
        <v>11.8</v>
      </c>
      <c r="D86" s="4">
        <v>11.5</v>
      </c>
      <c r="E86" s="4">
        <v>90</v>
      </c>
      <c r="F86" s="4">
        <v>76.599999999999994</v>
      </c>
      <c r="G86" s="4">
        <f t="shared" si="47"/>
        <v>0.30000000000000071</v>
      </c>
      <c r="H86" s="5">
        <f t="shared" si="48"/>
        <v>13.400000000000006</v>
      </c>
      <c r="L86" s="3" t="s">
        <v>111</v>
      </c>
      <c r="M86" s="4">
        <v>11.8</v>
      </c>
      <c r="N86">
        <v>11.8</v>
      </c>
      <c r="O86" s="4">
        <v>90</v>
      </c>
      <c r="P86" s="4">
        <v>89.2</v>
      </c>
      <c r="Q86" s="4">
        <f t="shared" si="49"/>
        <v>0</v>
      </c>
      <c r="R86" s="5">
        <f t="shared" si="50"/>
        <v>0.79999999999999716</v>
      </c>
      <c r="V86" s="3" t="s">
        <v>111</v>
      </c>
      <c r="W86" s="4">
        <v>11.8</v>
      </c>
      <c r="X86" s="4">
        <v>11.7</v>
      </c>
      <c r="Y86" s="4">
        <v>90</v>
      </c>
      <c r="Z86" s="4">
        <v>92</v>
      </c>
      <c r="AA86" s="4">
        <f t="shared" si="51"/>
        <v>0.10000000000000142</v>
      </c>
      <c r="AB86" s="5">
        <f t="shared" si="52"/>
        <v>2</v>
      </c>
      <c r="AG86" s="3" t="s">
        <v>111</v>
      </c>
      <c r="AH86" s="4">
        <v>11.8</v>
      </c>
      <c r="AI86" s="4"/>
      <c r="AJ86" s="4">
        <v>90</v>
      </c>
      <c r="AK86" s="4"/>
      <c r="AL86" s="4">
        <f t="shared" si="53"/>
        <v>11.8</v>
      </c>
      <c r="AM86" s="5">
        <f t="shared" si="54"/>
        <v>90</v>
      </c>
      <c r="AR86" s="3" t="s">
        <v>111</v>
      </c>
      <c r="AS86" s="4">
        <v>11.8</v>
      </c>
      <c r="AT86" s="4">
        <v>11.6</v>
      </c>
      <c r="AU86" s="4">
        <v>90</v>
      </c>
      <c r="AV86" s="4">
        <v>89.6</v>
      </c>
      <c r="AW86" s="4">
        <f t="shared" si="55"/>
        <v>0.20000000000000107</v>
      </c>
      <c r="AX86" s="5">
        <f t="shared" si="56"/>
        <v>0.40000000000000568</v>
      </c>
      <c r="BC86" s="3" t="s">
        <v>111</v>
      </c>
      <c r="BD86" s="4">
        <v>11.8</v>
      </c>
      <c r="BE86" s="4"/>
      <c r="BF86" s="4">
        <v>90</v>
      </c>
      <c r="BG86" s="4"/>
      <c r="BH86" s="4">
        <f t="shared" si="46"/>
        <v>11.8</v>
      </c>
      <c r="BI86" s="5">
        <f t="shared" si="40"/>
        <v>90</v>
      </c>
    </row>
    <row r="87" spans="2:61" x14ac:dyDescent="0.25">
      <c r="B87" s="6"/>
      <c r="C87" s="7">
        <v>10.4</v>
      </c>
      <c r="D87" s="7">
        <v>11.7</v>
      </c>
      <c r="E87" s="7">
        <v>88</v>
      </c>
      <c r="F87" s="7">
        <v>66.8</v>
      </c>
      <c r="G87" s="7">
        <f t="shared" si="47"/>
        <v>1.2999999999999989</v>
      </c>
      <c r="H87" s="8">
        <f t="shared" si="48"/>
        <v>21.200000000000003</v>
      </c>
      <c r="L87" s="6"/>
      <c r="M87" s="7">
        <v>10.4</v>
      </c>
      <c r="N87">
        <v>9.8000000000000007</v>
      </c>
      <c r="O87" s="7">
        <v>88</v>
      </c>
      <c r="P87" s="7">
        <v>97.6</v>
      </c>
      <c r="Q87" s="7">
        <f t="shared" si="49"/>
        <v>0.59999999999999964</v>
      </c>
      <c r="R87" s="8">
        <f t="shared" si="50"/>
        <v>9.5999999999999943</v>
      </c>
      <c r="V87" s="6"/>
      <c r="W87" s="7">
        <v>10.4</v>
      </c>
      <c r="X87" s="7">
        <v>9.4</v>
      </c>
      <c r="Y87" s="7">
        <v>88</v>
      </c>
      <c r="Z87" s="7">
        <v>92</v>
      </c>
      <c r="AA87" s="7">
        <f t="shared" si="51"/>
        <v>1</v>
      </c>
      <c r="AB87" s="8">
        <f t="shared" si="52"/>
        <v>4</v>
      </c>
      <c r="AG87" s="6"/>
      <c r="AH87" s="7">
        <v>10.4</v>
      </c>
      <c r="AI87" s="7"/>
      <c r="AJ87" s="7">
        <v>88</v>
      </c>
      <c r="AK87" s="7"/>
      <c r="AL87" s="7">
        <f t="shared" si="53"/>
        <v>10.4</v>
      </c>
      <c r="AM87" s="8">
        <f t="shared" si="54"/>
        <v>88</v>
      </c>
      <c r="AR87" s="6"/>
      <c r="AS87" s="7">
        <v>10.4</v>
      </c>
      <c r="AT87" s="7">
        <v>9.8000000000000007</v>
      </c>
      <c r="AU87" s="7">
        <v>88</v>
      </c>
      <c r="AV87" s="7">
        <v>68.2</v>
      </c>
      <c r="AW87" s="7">
        <f t="shared" si="55"/>
        <v>0.59999999999999964</v>
      </c>
      <c r="AX87" s="8">
        <f t="shared" si="56"/>
        <v>19.799999999999997</v>
      </c>
      <c r="BC87" s="6"/>
      <c r="BD87" s="7">
        <v>10.4</v>
      </c>
      <c r="BE87" s="7"/>
      <c r="BF87" s="7">
        <v>88</v>
      </c>
      <c r="BG87" s="7"/>
      <c r="BH87" s="7">
        <f t="shared" si="46"/>
        <v>10.4</v>
      </c>
      <c r="BI87" s="8">
        <f t="shared" si="40"/>
        <v>88</v>
      </c>
    </row>
    <row r="88" spans="2:61" x14ac:dyDescent="0.25">
      <c r="B88" s="3" t="s">
        <v>40</v>
      </c>
      <c r="C88" s="4">
        <v>18</v>
      </c>
      <c r="D88" s="4">
        <v>18.3</v>
      </c>
      <c r="E88" s="4">
        <v>87</v>
      </c>
      <c r="F88" s="4">
        <v>44.5</v>
      </c>
      <c r="G88" s="4">
        <f>ABS(C88-D88)</f>
        <v>0.30000000000000071</v>
      </c>
      <c r="H88" s="5">
        <f>ABS(E88-F88)</f>
        <v>42.5</v>
      </c>
      <c r="L88" s="3" t="s">
        <v>40</v>
      </c>
      <c r="M88" s="4">
        <v>18</v>
      </c>
      <c r="N88" s="4">
        <v>17.899999999999999</v>
      </c>
      <c r="O88" s="4">
        <v>87</v>
      </c>
      <c r="P88" s="4">
        <v>71.599999999999994</v>
      </c>
      <c r="Q88">
        <f>ABS(M88-N88)</f>
        <v>0.10000000000000142</v>
      </c>
      <c r="R88" s="5">
        <f>ABS(O88-P88)</f>
        <v>15.400000000000006</v>
      </c>
      <c r="V88" s="3" t="s">
        <v>40</v>
      </c>
      <c r="W88" s="4">
        <v>18</v>
      </c>
      <c r="X88" s="4">
        <v>17.600000000000001</v>
      </c>
      <c r="Y88" s="4">
        <v>87</v>
      </c>
      <c r="Z88" s="4">
        <v>79.099999999999994</v>
      </c>
      <c r="AA88">
        <f>ABS(W88-X88)</f>
        <v>0.39999999999999858</v>
      </c>
      <c r="AB88" s="5">
        <f>ABS(Y88-Z88)</f>
        <v>7.9000000000000057</v>
      </c>
      <c r="AG88" s="3" t="s">
        <v>40</v>
      </c>
      <c r="AH88" s="4">
        <v>18</v>
      </c>
      <c r="AI88" s="4"/>
      <c r="AJ88" s="4">
        <v>87</v>
      </c>
      <c r="AK88" s="4">
        <v>66.5</v>
      </c>
      <c r="AL88" s="4">
        <f>ABS(AH88-AI88)</f>
        <v>18</v>
      </c>
      <c r="AM88" s="5">
        <f>ABS(AJ88-AK88)</f>
        <v>20.5</v>
      </c>
      <c r="AR88" s="3" t="s">
        <v>40</v>
      </c>
      <c r="AS88" s="4">
        <v>18</v>
      </c>
      <c r="AT88" s="4">
        <v>17.600000000000001</v>
      </c>
      <c r="AU88" s="4">
        <v>87</v>
      </c>
      <c r="AV88" s="4">
        <v>68.599999999999994</v>
      </c>
      <c r="AW88" s="4">
        <f>ABS(AS88-AT88)</f>
        <v>0.39999999999999858</v>
      </c>
      <c r="AX88" s="5">
        <f>ABS(AU88-AV88)</f>
        <v>18.400000000000006</v>
      </c>
      <c r="BC88" s="3" t="s">
        <v>40</v>
      </c>
      <c r="BD88" s="4">
        <v>18</v>
      </c>
      <c r="BE88" s="4">
        <v>17.61</v>
      </c>
      <c r="BF88" s="4">
        <v>87</v>
      </c>
      <c r="BG88" s="4">
        <v>71.3</v>
      </c>
      <c r="BH88" s="4">
        <f>ABS(BD88-BE88)</f>
        <v>0.39000000000000057</v>
      </c>
      <c r="BI88" s="5">
        <f>ABS(BF88-BG88)</f>
        <v>15.700000000000003</v>
      </c>
    </row>
    <row r="89" spans="2:61" x14ac:dyDescent="0.25">
      <c r="B89" s="12"/>
      <c r="C89">
        <v>8.8000000000000007</v>
      </c>
      <c r="D89">
        <v>8.3000000000000007</v>
      </c>
      <c r="E89">
        <v>74</v>
      </c>
      <c r="F89">
        <v>72.400000000000006</v>
      </c>
      <c r="G89">
        <f>ABS(C89-D89)</f>
        <v>0.5</v>
      </c>
      <c r="H89" s="13">
        <f>ABS(E89-F89)</f>
        <v>1.5999999999999943</v>
      </c>
      <c r="L89" s="12"/>
      <c r="M89">
        <v>8.8000000000000007</v>
      </c>
      <c r="N89">
        <v>9.3000000000000007</v>
      </c>
      <c r="O89">
        <v>74</v>
      </c>
      <c r="P89">
        <v>59.2</v>
      </c>
      <c r="Q89">
        <f>ABS(M89-N89)</f>
        <v>0.5</v>
      </c>
      <c r="R89" s="13">
        <f>ABS(O89-P89)</f>
        <v>14.799999999999997</v>
      </c>
      <c r="V89" s="12"/>
      <c r="W89">
        <v>8.8000000000000007</v>
      </c>
      <c r="X89">
        <v>8.1999999999999993</v>
      </c>
      <c r="Y89">
        <v>74</v>
      </c>
      <c r="Z89">
        <v>92</v>
      </c>
      <c r="AA89">
        <f>ABS(W89-X89)</f>
        <v>0.60000000000000142</v>
      </c>
      <c r="AB89" s="13">
        <f>ABS(Y89-Z89)</f>
        <v>18</v>
      </c>
      <c r="AG89" s="12"/>
      <c r="AH89">
        <v>8.8000000000000007</v>
      </c>
      <c r="AJ89">
        <v>74</v>
      </c>
      <c r="AK89">
        <v>192.5</v>
      </c>
      <c r="AL89">
        <f>ABS(AH89-AI89)</f>
        <v>8.8000000000000007</v>
      </c>
      <c r="AM89" s="13">
        <f>ABS(AJ89-AK89)</f>
        <v>118.5</v>
      </c>
      <c r="AR89" s="12"/>
      <c r="AS89">
        <v>8.8000000000000007</v>
      </c>
      <c r="AT89">
        <v>8.6</v>
      </c>
      <c r="AU89">
        <v>74</v>
      </c>
      <c r="AV89">
        <v>55.6</v>
      </c>
      <c r="AW89">
        <f>ABS(AS89-AT89)</f>
        <v>0.20000000000000107</v>
      </c>
      <c r="AX89" s="13">
        <f>ABS(AU89-AV89)</f>
        <v>18.399999999999999</v>
      </c>
      <c r="BC89" s="12"/>
      <c r="BD89">
        <v>8.8000000000000007</v>
      </c>
      <c r="BE89">
        <v>8.41</v>
      </c>
      <c r="BF89">
        <v>74</v>
      </c>
      <c r="BG89">
        <v>59.2</v>
      </c>
      <c r="BH89">
        <f>ABS(BD89-BE89)</f>
        <v>0.39000000000000057</v>
      </c>
      <c r="BI89" s="13">
        <f>ABS(BF89-BG89)</f>
        <v>14.799999999999997</v>
      </c>
    </row>
    <row r="90" spans="2:61" x14ac:dyDescent="0.25">
      <c r="B90" s="6"/>
      <c r="C90" s="7">
        <v>8.8000000000000007</v>
      </c>
      <c r="D90" s="7">
        <v>9</v>
      </c>
      <c r="E90" s="7">
        <v>91</v>
      </c>
      <c r="F90" s="7">
        <v>81</v>
      </c>
      <c r="G90" s="7">
        <f>ABS(C90-D90)</f>
        <v>0.19999999999999929</v>
      </c>
      <c r="H90" s="8">
        <f>ABS(E90-F90)</f>
        <v>10</v>
      </c>
      <c r="L90" s="6"/>
      <c r="M90" s="7">
        <v>8.8000000000000007</v>
      </c>
      <c r="N90" s="7">
        <v>8.6</v>
      </c>
      <c r="O90" s="7">
        <v>91</v>
      </c>
      <c r="P90" s="7">
        <v>64.8</v>
      </c>
      <c r="Q90" s="7">
        <f>ABS(M90-N90)</f>
        <v>0.20000000000000107</v>
      </c>
      <c r="R90" s="8">
        <f>ABS(O90-P90)</f>
        <v>26.200000000000003</v>
      </c>
      <c r="V90" s="6"/>
      <c r="W90" s="7">
        <v>8.8000000000000007</v>
      </c>
      <c r="X90" s="7">
        <v>7</v>
      </c>
      <c r="Y90" s="7">
        <v>91</v>
      </c>
      <c r="Z90" s="7">
        <v>93.2</v>
      </c>
      <c r="AA90" s="7">
        <f>ABS(W90-X90)</f>
        <v>1.8000000000000007</v>
      </c>
      <c r="AB90" s="8">
        <f>ABS(Y90-Z90)</f>
        <v>2.2000000000000028</v>
      </c>
      <c r="AG90" s="6"/>
      <c r="AH90" s="7">
        <v>8.8000000000000007</v>
      </c>
      <c r="AI90" s="7"/>
      <c r="AJ90" s="7">
        <v>91</v>
      </c>
      <c r="AK90" s="7">
        <v>116.6</v>
      </c>
      <c r="AL90" s="7">
        <f>ABS(AH90-AI90)</f>
        <v>8.8000000000000007</v>
      </c>
      <c r="AM90" s="8">
        <f>ABS(AJ90-AK90)</f>
        <v>25.599999999999994</v>
      </c>
      <c r="AR90" s="6"/>
      <c r="AS90" s="7">
        <v>8.8000000000000007</v>
      </c>
      <c r="AT90" s="7">
        <v>7.1</v>
      </c>
      <c r="AU90" s="7">
        <v>91</v>
      </c>
      <c r="AV90" s="7">
        <v>72.2</v>
      </c>
      <c r="AW90" s="7">
        <f>ABS(AS90-AT90)</f>
        <v>1.7000000000000011</v>
      </c>
      <c r="AX90" s="8">
        <f>ABS(AU90-AV90)</f>
        <v>18.799999999999997</v>
      </c>
      <c r="BC90" s="6"/>
      <c r="BD90" s="7">
        <v>8.8000000000000007</v>
      </c>
      <c r="BE90" s="7">
        <v>7.2</v>
      </c>
      <c r="BF90" s="7">
        <v>91</v>
      </c>
      <c r="BG90" s="7">
        <v>64.8</v>
      </c>
      <c r="BH90" s="7">
        <f>ABS(BD90-BE90)</f>
        <v>1.6000000000000005</v>
      </c>
      <c r="BI90" s="8">
        <f>ABS(BF90-BG90)</f>
        <v>26.200000000000003</v>
      </c>
    </row>
    <row r="91" spans="2:61" x14ac:dyDescent="0.25">
      <c r="B91" s="3" t="s">
        <v>32</v>
      </c>
      <c r="C91" s="4">
        <v>16</v>
      </c>
      <c r="D91" s="4">
        <v>15.6</v>
      </c>
      <c r="E91" s="4">
        <v>93</v>
      </c>
      <c r="F91" s="4">
        <v>95.7</v>
      </c>
      <c r="G91" s="4">
        <f t="shared" ref="G91:G120" si="57">ABS(C91-D91)</f>
        <v>0.40000000000000036</v>
      </c>
      <c r="H91" s="5">
        <f t="shared" ref="H91:H126" si="58">ABS(E91-F91)</f>
        <v>2.7000000000000028</v>
      </c>
      <c r="L91" s="3" t="s">
        <v>32</v>
      </c>
      <c r="M91" s="4">
        <v>16</v>
      </c>
      <c r="N91" s="4">
        <v>15.2</v>
      </c>
      <c r="O91" s="4">
        <v>93</v>
      </c>
      <c r="P91" s="4">
        <v>106</v>
      </c>
      <c r="Q91" s="4">
        <f t="shared" ref="Q91:Q126" si="59">ABS(M91-N91)</f>
        <v>0.80000000000000071</v>
      </c>
      <c r="R91" s="5">
        <f t="shared" ref="R91:R126" si="60">ABS(O91-P91)</f>
        <v>13</v>
      </c>
      <c r="V91" s="3" t="s">
        <v>32</v>
      </c>
      <c r="W91" s="4">
        <v>16</v>
      </c>
      <c r="X91" s="4">
        <v>15.2</v>
      </c>
      <c r="Y91" s="4">
        <v>93</v>
      </c>
      <c r="Z91" s="4">
        <v>106.6</v>
      </c>
      <c r="AA91" s="4">
        <f t="shared" ref="AA91:AA123" si="61">ABS(W91-X91)</f>
        <v>0.80000000000000071</v>
      </c>
      <c r="AB91" s="5">
        <f t="shared" ref="AB91:AB126" si="62">ABS(Y91-Z91)</f>
        <v>13.599999999999994</v>
      </c>
      <c r="AG91" s="3" t="s">
        <v>32</v>
      </c>
      <c r="AH91" s="4">
        <v>16</v>
      </c>
      <c r="AI91" s="4"/>
      <c r="AJ91" s="4">
        <v>93</v>
      </c>
      <c r="AK91" s="4">
        <v>133</v>
      </c>
      <c r="AL91" s="4">
        <f t="shared" ref="AL91:AL117" si="63">ABS(AH91-AI91)</f>
        <v>16</v>
      </c>
      <c r="AM91" s="5">
        <f t="shared" ref="AM91:AM117" si="64">ABS(AJ91-AK91)</f>
        <v>40</v>
      </c>
      <c r="AR91" s="3" t="s">
        <v>32</v>
      </c>
      <c r="AS91" s="4">
        <v>16</v>
      </c>
      <c r="AT91" s="4">
        <v>16.600000000000001</v>
      </c>
      <c r="AU91" s="4">
        <v>93</v>
      </c>
      <c r="AV91" s="4">
        <v>106</v>
      </c>
      <c r="AW91" s="4">
        <f t="shared" ref="AW91:AW126" si="65">ABS(AS91-AT91)</f>
        <v>0.60000000000000142</v>
      </c>
      <c r="AX91" s="5">
        <f t="shared" ref="AX91:AX126" si="66">ABS(AU91-AV91)</f>
        <v>13</v>
      </c>
      <c r="BC91" s="3" t="s">
        <v>32</v>
      </c>
      <c r="BD91" s="4">
        <v>16</v>
      </c>
      <c r="BE91" s="4">
        <v>15.21</v>
      </c>
      <c r="BF91" s="4">
        <v>93</v>
      </c>
      <c r="BG91" s="4">
        <v>106.1</v>
      </c>
      <c r="BH91" s="4">
        <f t="shared" ref="BH91:BH154" si="67">ABS(BD91-BE91)</f>
        <v>0.78999999999999915</v>
      </c>
      <c r="BI91" s="5">
        <f t="shared" ref="BI91:BI140" si="68">ABS(BF91-BG91)</f>
        <v>13.099999999999994</v>
      </c>
    </row>
    <row r="92" spans="2:61" x14ac:dyDescent="0.25">
      <c r="B92" s="12"/>
      <c r="C92">
        <v>11.6</v>
      </c>
      <c r="D92">
        <v>10.8</v>
      </c>
      <c r="E92">
        <v>69</v>
      </c>
      <c r="F92">
        <v>64</v>
      </c>
      <c r="G92">
        <f t="shared" si="57"/>
        <v>0.79999999999999893</v>
      </c>
      <c r="H92" s="13">
        <f t="shared" si="58"/>
        <v>5</v>
      </c>
      <c r="L92" s="12"/>
      <c r="M92">
        <v>11.6</v>
      </c>
      <c r="N92">
        <v>10.5</v>
      </c>
      <c r="O92">
        <v>69</v>
      </c>
      <c r="P92">
        <v>80</v>
      </c>
      <c r="Q92">
        <f t="shared" si="59"/>
        <v>1.0999999999999996</v>
      </c>
      <c r="R92" s="13">
        <f t="shared" si="60"/>
        <v>11</v>
      </c>
      <c r="V92" s="12"/>
      <c r="W92">
        <v>11.6</v>
      </c>
      <c r="X92">
        <v>10.5</v>
      </c>
      <c r="Y92">
        <v>69</v>
      </c>
      <c r="Z92">
        <v>83.2</v>
      </c>
      <c r="AA92">
        <f t="shared" si="61"/>
        <v>1.0999999999999996</v>
      </c>
      <c r="AB92" s="13">
        <f t="shared" si="62"/>
        <v>14.200000000000003</v>
      </c>
      <c r="AG92" s="12"/>
      <c r="AH92">
        <v>11.6</v>
      </c>
      <c r="AJ92">
        <v>69</v>
      </c>
      <c r="AK92">
        <v>74.5</v>
      </c>
      <c r="AL92">
        <f t="shared" si="63"/>
        <v>11.6</v>
      </c>
      <c r="AM92" s="13">
        <f t="shared" si="64"/>
        <v>5.5</v>
      </c>
      <c r="AR92" s="12"/>
      <c r="AS92">
        <v>11.6</v>
      </c>
      <c r="AT92">
        <v>11.2</v>
      </c>
      <c r="AU92">
        <v>69</v>
      </c>
      <c r="AV92">
        <v>59.1</v>
      </c>
      <c r="AW92">
        <f t="shared" si="65"/>
        <v>0.40000000000000036</v>
      </c>
      <c r="AX92" s="13">
        <f t="shared" si="66"/>
        <v>9.8999999999999986</v>
      </c>
      <c r="BC92" s="12"/>
      <c r="BD92">
        <v>11.6</v>
      </c>
      <c r="BE92">
        <v>10.81</v>
      </c>
      <c r="BF92">
        <v>69</v>
      </c>
      <c r="BG92">
        <v>80.5</v>
      </c>
      <c r="BH92">
        <f t="shared" si="67"/>
        <v>0.78999999999999915</v>
      </c>
      <c r="BI92" s="13">
        <f t="shared" si="68"/>
        <v>11.5</v>
      </c>
    </row>
    <row r="93" spans="2:61" x14ac:dyDescent="0.25">
      <c r="B93" s="6"/>
      <c r="C93" s="7">
        <v>12.4</v>
      </c>
      <c r="D93" s="7">
        <v>12.2</v>
      </c>
      <c r="E93" s="7">
        <v>77</v>
      </c>
      <c r="F93" s="7">
        <v>65.8</v>
      </c>
      <c r="G93" s="7">
        <f t="shared" si="57"/>
        <v>0.20000000000000107</v>
      </c>
      <c r="H93" s="8">
        <f t="shared" si="58"/>
        <v>11.200000000000003</v>
      </c>
      <c r="L93" s="6"/>
      <c r="M93" s="7">
        <v>12.4</v>
      </c>
      <c r="N93" s="7">
        <v>12.9</v>
      </c>
      <c r="O93" s="7">
        <v>77</v>
      </c>
      <c r="P93" s="7">
        <v>72</v>
      </c>
      <c r="Q93" s="7">
        <f t="shared" si="59"/>
        <v>0.5</v>
      </c>
      <c r="R93" s="8">
        <f t="shared" si="60"/>
        <v>5</v>
      </c>
      <c r="V93" s="6"/>
      <c r="W93" s="7">
        <v>12.4</v>
      </c>
      <c r="X93" s="7">
        <v>12.8</v>
      </c>
      <c r="Y93" s="7">
        <v>77</v>
      </c>
      <c r="Z93" s="7">
        <v>92</v>
      </c>
      <c r="AA93" s="7">
        <f t="shared" si="61"/>
        <v>0.40000000000000036</v>
      </c>
      <c r="AB93" s="8">
        <f t="shared" si="62"/>
        <v>15</v>
      </c>
      <c r="AG93" s="6"/>
      <c r="AH93" s="7">
        <v>12.4</v>
      </c>
      <c r="AI93" s="7"/>
      <c r="AJ93" s="7">
        <v>77</v>
      </c>
      <c r="AK93" s="7">
        <v>67.5</v>
      </c>
      <c r="AL93" s="7">
        <f t="shared" si="63"/>
        <v>12.4</v>
      </c>
      <c r="AM93" s="8">
        <f t="shared" si="64"/>
        <v>9.5</v>
      </c>
      <c r="AR93" s="6"/>
      <c r="AS93" s="7">
        <v>12.4</v>
      </c>
      <c r="AT93" s="7">
        <v>12.2</v>
      </c>
      <c r="AU93" s="7">
        <v>77</v>
      </c>
      <c r="AV93" s="7">
        <v>65.599999999999994</v>
      </c>
      <c r="AW93" s="7">
        <f t="shared" si="65"/>
        <v>0.20000000000000107</v>
      </c>
      <c r="AX93" s="8">
        <f t="shared" si="66"/>
        <v>11.400000000000006</v>
      </c>
      <c r="BC93" s="6"/>
      <c r="BD93" s="7">
        <v>12.4</v>
      </c>
      <c r="BE93" s="7">
        <v>12.41</v>
      </c>
      <c r="BF93" s="7">
        <v>77</v>
      </c>
      <c r="BG93" s="7">
        <v>72.099999999999994</v>
      </c>
      <c r="BH93" s="7">
        <f t="shared" si="67"/>
        <v>9.9999999999997868E-3</v>
      </c>
      <c r="BI93" s="8">
        <f t="shared" si="68"/>
        <v>4.9000000000000057</v>
      </c>
    </row>
    <row r="94" spans="2:61" x14ac:dyDescent="0.25">
      <c r="B94" s="3" t="s">
        <v>33</v>
      </c>
      <c r="C94" s="4">
        <v>10.4</v>
      </c>
      <c r="D94" s="4">
        <v>10.1</v>
      </c>
      <c r="E94" s="4">
        <v>75</v>
      </c>
      <c r="F94" s="4">
        <v>67.2</v>
      </c>
      <c r="G94" s="4">
        <f t="shared" si="57"/>
        <v>0.30000000000000071</v>
      </c>
      <c r="H94" s="5">
        <f t="shared" si="58"/>
        <v>7.7999999999999972</v>
      </c>
      <c r="L94" s="3" t="s">
        <v>33</v>
      </c>
      <c r="M94" s="4">
        <v>10.4</v>
      </c>
      <c r="N94" s="4">
        <v>10</v>
      </c>
      <c r="O94" s="4">
        <v>75</v>
      </c>
      <c r="P94" s="4">
        <v>67.599999999999994</v>
      </c>
      <c r="Q94" s="4">
        <f t="shared" si="59"/>
        <v>0.40000000000000036</v>
      </c>
      <c r="R94" s="5">
        <f t="shared" si="60"/>
        <v>7.4000000000000057</v>
      </c>
      <c r="V94" s="3" t="s">
        <v>33</v>
      </c>
      <c r="W94" s="4">
        <v>10.4</v>
      </c>
      <c r="X94" s="4">
        <v>10.5</v>
      </c>
      <c r="Y94" s="4">
        <v>75</v>
      </c>
      <c r="Z94" s="4">
        <v>76.599999999999994</v>
      </c>
      <c r="AA94" s="4">
        <f t="shared" si="61"/>
        <v>9.9999999999999645E-2</v>
      </c>
      <c r="AB94" s="5">
        <f t="shared" si="62"/>
        <v>1.5999999999999943</v>
      </c>
      <c r="AG94" s="3" t="s">
        <v>33</v>
      </c>
      <c r="AH94" s="4">
        <v>10.4</v>
      </c>
      <c r="AI94" s="4"/>
      <c r="AJ94" s="4">
        <v>75</v>
      </c>
      <c r="AK94" s="4">
        <v>71</v>
      </c>
      <c r="AL94" s="4">
        <f t="shared" si="63"/>
        <v>10.4</v>
      </c>
      <c r="AM94" s="5">
        <f t="shared" si="64"/>
        <v>4</v>
      </c>
      <c r="AR94" s="3" t="s">
        <v>33</v>
      </c>
      <c r="AS94" s="4">
        <v>10.4</v>
      </c>
      <c r="AT94" s="4">
        <v>10.199999999999999</v>
      </c>
      <c r="AU94" s="4">
        <v>75</v>
      </c>
      <c r="AV94" s="4">
        <v>67.599999999999994</v>
      </c>
      <c r="AW94" s="4">
        <f t="shared" si="65"/>
        <v>0.20000000000000107</v>
      </c>
      <c r="AX94" s="5">
        <f t="shared" si="66"/>
        <v>7.4000000000000057</v>
      </c>
      <c r="BC94" s="3" t="s">
        <v>33</v>
      </c>
      <c r="BD94" s="4">
        <v>10.4</v>
      </c>
      <c r="BE94" s="4">
        <v>10.01</v>
      </c>
      <c r="BF94" s="4">
        <v>75</v>
      </c>
      <c r="BG94" s="4">
        <v>67.7</v>
      </c>
      <c r="BH94" s="4">
        <f t="shared" si="67"/>
        <v>0.39000000000000057</v>
      </c>
      <c r="BI94" s="5">
        <f t="shared" si="68"/>
        <v>7.2999999999999972</v>
      </c>
    </row>
    <row r="95" spans="2:61" x14ac:dyDescent="0.25">
      <c r="B95" s="12"/>
      <c r="C95">
        <v>9.6</v>
      </c>
      <c r="D95">
        <v>8.9</v>
      </c>
      <c r="E95">
        <v>92</v>
      </c>
      <c r="F95">
        <v>82.3</v>
      </c>
      <c r="G95">
        <f t="shared" si="57"/>
        <v>0.69999999999999929</v>
      </c>
      <c r="H95" s="13">
        <f t="shared" si="58"/>
        <v>9.7000000000000028</v>
      </c>
      <c r="L95" s="12"/>
      <c r="M95">
        <v>9.6</v>
      </c>
      <c r="N95">
        <v>9.5</v>
      </c>
      <c r="O95">
        <v>92</v>
      </c>
      <c r="P95">
        <v>98</v>
      </c>
      <c r="Q95">
        <f t="shared" si="59"/>
        <v>9.9999999999999645E-2</v>
      </c>
      <c r="R95" s="13">
        <f t="shared" si="60"/>
        <v>6</v>
      </c>
      <c r="V95" s="12"/>
      <c r="W95">
        <v>9.6</v>
      </c>
      <c r="X95">
        <v>8.1999999999999993</v>
      </c>
      <c r="Y95">
        <v>92</v>
      </c>
      <c r="Z95">
        <v>96.4</v>
      </c>
      <c r="AA95">
        <f t="shared" si="61"/>
        <v>1.4000000000000004</v>
      </c>
      <c r="AB95" s="13">
        <f t="shared" si="62"/>
        <v>4.4000000000000057</v>
      </c>
      <c r="AG95" s="12"/>
      <c r="AH95">
        <v>9.6</v>
      </c>
      <c r="AJ95">
        <v>92</v>
      </c>
      <c r="AK95">
        <v>78.3</v>
      </c>
      <c r="AL95">
        <f t="shared" si="63"/>
        <v>9.6</v>
      </c>
      <c r="AM95" s="13">
        <f t="shared" si="64"/>
        <v>13.700000000000003</v>
      </c>
      <c r="AR95" s="12"/>
      <c r="AS95">
        <v>9.6</v>
      </c>
      <c r="AT95">
        <v>8.5</v>
      </c>
      <c r="AU95">
        <v>92</v>
      </c>
      <c r="AV95">
        <v>64.3</v>
      </c>
      <c r="AW95">
        <f t="shared" si="65"/>
        <v>1.0999999999999996</v>
      </c>
      <c r="AX95" s="13">
        <f t="shared" si="66"/>
        <v>27.700000000000003</v>
      </c>
      <c r="BC95" s="12"/>
      <c r="BD95">
        <v>9.6</v>
      </c>
      <c r="BE95">
        <v>8.41</v>
      </c>
      <c r="BF95">
        <v>92</v>
      </c>
      <c r="BG95">
        <v>61.2</v>
      </c>
      <c r="BH95">
        <f t="shared" si="67"/>
        <v>1.1899999999999995</v>
      </c>
      <c r="BI95" s="13">
        <f t="shared" si="68"/>
        <v>30.799999999999997</v>
      </c>
    </row>
    <row r="96" spans="2:61" x14ac:dyDescent="0.25">
      <c r="B96" s="6"/>
      <c r="C96" s="7">
        <v>10.4</v>
      </c>
      <c r="D96" s="7">
        <v>9.6999999999999993</v>
      </c>
      <c r="E96" s="7">
        <v>72</v>
      </c>
      <c r="F96" s="7">
        <v>65.5</v>
      </c>
      <c r="G96" s="7">
        <f t="shared" si="57"/>
        <v>0.70000000000000107</v>
      </c>
      <c r="H96" s="8">
        <f t="shared" si="58"/>
        <v>6.5</v>
      </c>
      <c r="L96" s="6"/>
      <c r="M96" s="7">
        <v>10.4</v>
      </c>
      <c r="N96" s="7">
        <v>9.8000000000000007</v>
      </c>
      <c r="O96" s="7">
        <v>72</v>
      </c>
      <c r="P96" s="7">
        <v>72</v>
      </c>
      <c r="Q96" s="7">
        <f t="shared" si="59"/>
        <v>0.59999999999999964</v>
      </c>
      <c r="R96" s="8">
        <f t="shared" si="60"/>
        <v>0</v>
      </c>
      <c r="V96" s="6"/>
      <c r="W96" s="7">
        <v>10.4</v>
      </c>
      <c r="X96" s="7">
        <v>9.4</v>
      </c>
      <c r="Y96" s="7">
        <v>72</v>
      </c>
      <c r="Z96" s="7">
        <v>82.9</v>
      </c>
      <c r="AA96" s="7">
        <f t="shared" si="61"/>
        <v>1</v>
      </c>
      <c r="AB96" s="8">
        <f t="shared" si="62"/>
        <v>10.900000000000006</v>
      </c>
      <c r="AG96" s="6"/>
      <c r="AH96" s="7">
        <v>10.4</v>
      </c>
      <c r="AI96" s="7"/>
      <c r="AJ96" s="7">
        <v>72</v>
      </c>
      <c r="AK96" s="7">
        <v>159</v>
      </c>
      <c r="AL96" s="7">
        <f t="shared" si="63"/>
        <v>10.4</v>
      </c>
      <c r="AM96" s="8">
        <f t="shared" si="64"/>
        <v>87</v>
      </c>
      <c r="AR96" s="6"/>
      <c r="AS96" s="7">
        <v>10.4</v>
      </c>
      <c r="AT96" s="7">
        <v>9.6</v>
      </c>
      <c r="AU96" s="7">
        <v>72</v>
      </c>
      <c r="AV96" s="7">
        <v>53.6</v>
      </c>
      <c r="AW96" s="7">
        <f t="shared" si="65"/>
        <v>0.80000000000000071</v>
      </c>
      <c r="AX96" s="8">
        <f t="shared" si="66"/>
        <v>18.399999999999999</v>
      </c>
      <c r="BC96" s="6"/>
      <c r="BD96" s="7">
        <v>10.4</v>
      </c>
      <c r="BE96" s="7">
        <v>9.61</v>
      </c>
      <c r="BF96" s="7">
        <v>72</v>
      </c>
      <c r="BG96" s="7">
        <v>57.6</v>
      </c>
      <c r="BH96" s="7">
        <f t="shared" si="67"/>
        <v>0.79000000000000092</v>
      </c>
      <c r="BI96" s="8">
        <f t="shared" si="68"/>
        <v>14.399999999999999</v>
      </c>
    </row>
    <row r="97" spans="2:61" x14ac:dyDescent="0.25">
      <c r="B97" s="3" t="s">
        <v>34</v>
      </c>
      <c r="C97" s="4">
        <v>10.4</v>
      </c>
      <c r="D97" s="4">
        <v>9.1999999999999993</v>
      </c>
      <c r="E97" s="4">
        <v>95</v>
      </c>
      <c r="F97" s="4">
        <v>81.2</v>
      </c>
      <c r="G97" s="4">
        <f t="shared" si="57"/>
        <v>1.2000000000000011</v>
      </c>
      <c r="H97" s="5">
        <f t="shared" si="58"/>
        <v>13.799999999999997</v>
      </c>
      <c r="L97" s="3" t="s">
        <v>34</v>
      </c>
      <c r="M97" s="4">
        <v>10.4</v>
      </c>
      <c r="N97" s="4">
        <v>9.9</v>
      </c>
      <c r="O97" s="4">
        <v>95</v>
      </c>
      <c r="P97" s="4">
        <v>64.8</v>
      </c>
      <c r="Q97" s="4">
        <f t="shared" si="59"/>
        <v>0.5</v>
      </c>
      <c r="R97" s="5">
        <f t="shared" si="60"/>
        <v>30.200000000000003</v>
      </c>
      <c r="V97" s="3" t="s">
        <v>34</v>
      </c>
      <c r="W97" s="4">
        <v>10.4</v>
      </c>
      <c r="X97" s="4">
        <v>10.3</v>
      </c>
      <c r="Y97" s="4">
        <v>95</v>
      </c>
      <c r="Z97" s="4">
        <v>95.8</v>
      </c>
      <c r="AA97" s="4">
        <f t="shared" si="61"/>
        <v>9.9999999999999645E-2</v>
      </c>
      <c r="AB97" s="5">
        <f t="shared" si="62"/>
        <v>0.79999999999999716</v>
      </c>
      <c r="AG97" s="3" t="s">
        <v>34</v>
      </c>
      <c r="AH97" s="4">
        <v>10.4</v>
      </c>
      <c r="AI97" s="4"/>
      <c r="AJ97" s="4">
        <v>95</v>
      </c>
      <c r="AK97" s="4">
        <v>76.3</v>
      </c>
      <c r="AL97" s="4">
        <f t="shared" si="63"/>
        <v>10.4</v>
      </c>
      <c r="AM97" s="5">
        <f t="shared" si="64"/>
        <v>18.700000000000003</v>
      </c>
      <c r="AR97" s="3" t="s">
        <v>34</v>
      </c>
      <c r="AS97" s="4">
        <v>10.4</v>
      </c>
      <c r="AT97" s="4">
        <v>10</v>
      </c>
      <c r="AU97" s="4">
        <v>95</v>
      </c>
      <c r="AV97" s="4">
        <v>71.400000000000006</v>
      </c>
      <c r="AW97" s="4">
        <f t="shared" si="65"/>
        <v>0.40000000000000036</v>
      </c>
      <c r="AX97" s="5">
        <f t="shared" si="66"/>
        <v>23.599999999999994</v>
      </c>
      <c r="BC97" s="3" t="s">
        <v>34</v>
      </c>
      <c r="BD97" s="4">
        <v>10.4</v>
      </c>
      <c r="BE97" s="4">
        <v>10.01</v>
      </c>
      <c r="BF97" s="4">
        <v>95</v>
      </c>
      <c r="BG97" s="4">
        <v>64.8</v>
      </c>
      <c r="BH97" s="4">
        <f t="shared" si="67"/>
        <v>0.39000000000000057</v>
      </c>
      <c r="BI97" s="5">
        <f t="shared" si="68"/>
        <v>30.200000000000003</v>
      </c>
    </row>
    <row r="98" spans="2:61" x14ac:dyDescent="0.25">
      <c r="B98" s="12"/>
      <c r="C98">
        <v>10.4</v>
      </c>
      <c r="D98">
        <v>10.4</v>
      </c>
      <c r="E98">
        <v>72</v>
      </c>
      <c r="F98">
        <v>72.8</v>
      </c>
      <c r="G98">
        <f t="shared" si="57"/>
        <v>0</v>
      </c>
      <c r="H98" s="13">
        <f t="shared" si="58"/>
        <v>0.79999999999999716</v>
      </c>
      <c r="L98" s="12"/>
      <c r="M98">
        <v>10.4</v>
      </c>
      <c r="N98">
        <v>9.6999999999999993</v>
      </c>
      <c r="O98">
        <v>72</v>
      </c>
      <c r="P98">
        <v>64.400000000000006</v>
      </c>
      <c r="Q98">
        <f t="shared" si="59"/>
        <v>0.70000000000000107</v>
      </c>
      <c r="R98" s="13">
        <f t="shared" si="60"/>
        <v>7.5999999999999943</v>
      </c>
      <c r="V98" s="12"/>
      <c r="W98">
        <v>10.4</v>
      </c>
      <c r="X98">
        <v>9.4</v>
      </c>
      <c r="Y98">
        <v>72</v>
      </c>
      <c r="Z98">
        <v>92.3</v>
      </c>
      <c r="AA98">
        <f t="shared" si="61"/>
        <v>1</v>
      </c>
      <c r="AB98" s="13">
        <f t="shared" si="62"/>
        <v>20.299999999999997</v>
      </c>
      <c r="AG98" s="12"/>
      <c r="AH98">
        <v>10.4</v>
      </c>
      <c r="AJ98">
        <v>72</v>
      </c>
      <c r="AK98">
        <v>72</v>
      </c>
      <c r="AL98">
        <f t="shared" si="63"/>
        <v>10.4</v>
      </c>
      <c r="AM98" s="13">
        <f t="shared" si="64"/>
        <v>0</v>
      </c>
      <c r="AR98" s="12"/>
      <c r="AS98">
        <v>10.4</v>
      </c>
      <c r="AT98">
        <v>10</v>
      </c>
      <c r="AU98">
        <v>72</v>
      </c>
      <c r="AV98">
        <v>62.6</v>
      </c>
      <c r="AW98">
        <f t="shared" si="65"/>
        <v>0.40000000000000036</v>
      </c>
      <c r="AX98" s="13">
        <f t="shared" si="66"/>
        <v>9.3999999999999986</v>
      </c>
      <c r="BC98" s="12"/>
      <c r="BD98">
        <v>10.4</v>
      </c>
      <c r="BE98">
        <v>10.01</v>
      </c>
      <c r="BF98">
        <v>72</v>
      </c>
      <c r="BG98">
        <v>60.4</v>
      </c>
      <c r="BH98">
        <f t="shared" si="67"/>
        <v>0.39000000000000057</v>
      </c>
      <c r="BI98" s="13">
        <f t="shared" si="68"/>
        <v>11.600000000000001</v>
      </c>
    </row>
    <row r="99" spans="2:61" x14ac:dyDescent="0.25">
      <c r="B99" s="6"/>
      <c r="C99" s="7">
        <v>11.2</v>
      </c>
      <c r="D99">
        <v>10.9</v>
      </c>
      <c r="E99" s="7">
        <v>79</v>
      </c>
      <c r="F99" s="7">
        <v>69</v>
      </c>
      <c r="G99" s="7">
        <f t="shared" si="57"/>
        <v>0.29999999999999893</v>
      </c>
      <c r="H99" s="8">
        <f t="shared" si="58"/>
        <v>10</v>
      </c>
      <c r="L99" s="6"/>
      <c r="M99" s="7">
        <v>11.2</v>
      </c>
      <c r="N99">
        <v>10.3</v>
      </c>
      <c r="O99" s="7">
        <v>79</v>
      </c>
      <c r="P99" s="7">
        <v>75.5</v>
      </c>
      <c r="Q99" s="7">
        <f t="shared" si="59"/>
        <v>0.89999999999999858</v>
      </c>
      <c r="R99" s="8">
        <f t="shared" si="60"/>
        <v>3.5</v>
      </c>
      <c r="V99" s="6"/>
      <c r="W99" s="7">
        <v>11.2</v>
      </c>
      <c r="X99">
        <v>10.5</v>
      </c>
      <c r="Y99" s="7">
        <v>79</v>
      </c>
      <c r="Z99" s="7">
        <v>81.7</v>
      </c>
      <c r="AA99" s="7">
        <f t="shared" si="61"/>
        <v>0.69999999999999929</v>
      </c>
      <c r="AB99" s="8">
        <f t="shared" si="62"/>
        <v>2.7000000000000028</v>
      </c>
      <c r="AG99" s="6"/>
      <c r="AH99" s="7">
        <v>11.2</v>
      </c>
      <c r="AJ99" s="7">
        <v>79</v>
      </c>
      <c r="AK99" s="7">
        <v>121</v>
      </c>
      <c r="AL99" s="7">
        <f t="shared" si="63"/>
        <v>11.2</v>
      </c>
      <c r="AM99" s="8">
        <f t="shared" si="64"/>
        <v>42</v>
      </c>
      <c r="AR99" s="6"/>
      <c r="AS99" s="7">
        <v>11.2</v>
      </c>
      <c r="AT99">
        <v>11.2</v>
      </c>
      <c r="AU99" s="7">
        <v>79</v>
      </c>
      <c r="AV99" s="7">
        <v>68.8</v>
      </c>
      <c r="AW99" s="7">
        <f t="shared" si="65"/>
        <v>0</v>
      </c>
      <c r="AX99" s="8">
        <f t="shared" si="66"/>
        <v>10.200000000000003</v>
      </c>
      <c r="BC99" s="6"/>
      <c r="BD99" s="7">
        <v>11.2</v>
      </c>
      <c r="BE99">
        <v>11.21</v>
      </c>
      <c r="BF99" s="7">
        <v>79</v>
      </c>
      <c r="BG99" s="7">
        <v>69.7</v>
      </c>
      <c r="BH99" s="7">
        <f t="shared" si="67"/>
        <v>1.0000000000001563E-2</v>
      </c>
      <c r="BI99" s="8">
        <f t="shared" si="68"/>
        <v>9.2999999999999972</v>
      </c>
    </row>
    <row r="100" spans="2:61" x14ac:dyDescent="0.25">
      <c r="B100" s="3" t="s">
        <v>35</v>
      </c>
      <c r="C100" s="4">
        <v>10</v>
      </c>
      <c r="D100" s="4">
        <v>8.6</v>
      </c>
      <c r="E100" s="4">
        <v>75</v>
      </c>
      <c r="F100" s="4">
        <v>76.400000000000006</v>
      </c>
      <c r="G100" s="4">
        <f t="shared" si="57"/>
        <v>1.4000000000000004</v>
      </c>
      <c r="H100" s="5">
        <f t="shared" si="58"/>
        <v>1.4000000000000057</v>
      </c>
      <c r="L100" s="3" t="s">
        <v>35</v>
      </c>
      <c r="M100" s="4">
        <v>10</v>
      </c>
      <c r="N100" s="4">
        <v>9.5</v>
      </c>
      <c r="O100" s="4">
        <v>75</v>
      </c>
      <c r="P100" s="4">
        <v>89.2</v>
      </c>
      <c r="Q100" s="4">
        <f t="shared" si="59"/>
        <v>0.5</v>
      </c>
      <c r="R100" s="5">
        <f t="shared" si="60"/>
        <v>14.200000000000003</v>
      </c>
      <c r="V100" s="3" t="s">
        <v>35</v>
      </c>
      <c r="W100" s="4">
        <v>10</v>
      </c>
      <c r="X100" s="4">
        <v>8.1999999999999993</v>
      </c>
      <c r="Y100" s="4">
        <v>75</v>
      </c>
      <c r="Z100" s="4">
        <v>91.7</v>
      </c>
      <c r="AA100" s="4">
        <f t="shared" si="61"/>
        <v>1.8000000000000007</v>
      </c>
      <c r="AB100" s="5">
        <f t="shared" si="62"/>
        <v>16.700000000000003</v>
      </c>
      <c r="AG100" s="3" t="s">
        <v>35</v>
      </c>
      <c r="AH100" s="4">
        <v>10</v>
      </c>
      <c r="AI100" s="4"/>
      <c r="AJ100" s="4">
        <v>75</v>
      </c>
      <c r="AK100" s="4">
        <v>111</v>
      </c>
      <c r="AL100" s="4">
        <f t="shared" si="63"/>
        <v>10</v>
      </c>
      <c r="AM100" s="5">
        <f t="shared" si="64"/>
        <v>36</v>
      </c>
      <c r="AR100" s="3" t="s">
        <v>35</v>
      </c>
      <c r="AS100" s="4">
        <v>10</v>
      </c>
      <c r="AT100" s="4">
        <v>9.1999999999999993</v>
      </c>
      <c r="AU100" s="4">
        <v>75</v>
      </c>
      <c r="AV100" s="4">
        <v>55.2</v>
      </c>
      <c r="AW100" s="4">
        <f t="shared" si="65"/>
        <v>0.80000000000000071</v>
      </c>
      <c r="AX100" s="5">
        <f t="shared" si="66"/>
        <v>19.799999999999997</v>
      </c>
      <c r="BC100" s="3" t="s">
        <v>35</v>
      </c>
      <c r="BD100" s="4">
        <v>10</v>
      </c>
      <c r="BE100" s="4">
        <v>9.2100000000000009</v>
      </c>
      <c r="BF100" s="4">
        <v>75</v>
      </c>
      <c r="BG100" s="4">
        <v>66</v>
      </c>
      <c r="BH100" s="4">
        <f t="shared" si="67"/>
        <v>0.78999999999999915</v>
      </c>
      <c r="BI100" s="5">
        <f t="shared" si="68"/>
        <v>9</v>
      </c>
    </row>
    <row r="101" spans="2:61" x14ac:dyDescent="0.25">
      <c r="B101" s="12"/>
      <c r="C101">
        <v>10</v>
      </c>
      <c r="D101">
        <v>10</v>
      </c>
      <c r="E101">
        <v>67</v>
      </c>
      <c r="F101">
        <v>78.099999999999994</v>
      </c>
      <c r="G101">
        <f t="shared" si="57"/>
        <v>0</v>
      </c>
      <c r="H101" s="13">
        <f t="shared" si="58"/>
        <v>11.099999999999994</v>
      </c>
      <c r="L101" s="12"/>
      <c r="M101">
        <v>10</v>
      </c>
      <c r="N101">
        <v>10</v>
      </c>
      <c r="O101">
        <v>67</v>
      </c>
      <c r="P101">
        <v>52.8</v>
      </c>
      <c r="Q101">
        <f t="shared" si="59"/>
        <v>0</v>
      </c>
      <c r="R101" s="13">
        <f t="shared" si="60"/>
        <v>14.200000000000003</v>
      </c>
      <c r="V101" s="12"/>
      <c r="W101">
        <v>10</v>
      </c>
      <c r="X101">
        <v>10.5</v>
      </c>
      <c r="Y101">
        <v>67</v>
      </c>
      <c r="Z101">
        <v>90.8</v>
      </c>
      <c r="AA101">
        <f t="shared" si="61"/>
        <v>0.5</v>
      </c>
      <c r="AB101" s="13">
        <f t="shared" si="62"/>
        <v>23.799999999999997</v>
      </c>
      <c r="AG101" s="12"/>
      <c r="AH101">
        <v>10</v>
      </c>
      <c r="AJ101">
        <v>67</v>
      </c>
      <c r="AK101">
        <v>69.599999999999994</v>
      </c>
      <c r="AL101">
        <f t="shared" si="63"/>
        <v>10</v>
      </c>
      <c r="AM101" s="13">
        <f t="shared" si="64"/>
        <v>2.5999999999999943</v>
      </c>
      <c r="AR101" s="12"/>
      <c r="AS101">
        <v>10</v>
      </c>
      <c r="AT101">
        <v>10.199999999999999</v>
      </c>
      <c r="AU101">
        <v>67</v>
      </c>
      <c r="AV101">
        <v>64.400000000000006</v>
      </c>
      <c r="AW101">
        <f t="shared" si="65"/>
        <v>0.19999999999999929</v>
      </c>
      <c r="AX101" s="13">
        <f t="shared" si="66"/>
        <v>2.5999999999999943</v>
      </c>
      <c r="BC101" s="12"/>
      <c r="BD101">
        <v>10</v>
      </c>
      <c r="BE101">
        <v>10.41</v>
      </c>
      <c r="BF101">
        <v>67</v>
      </c>
      <c r="BG101">
        <v>71.3</v>
      </c>
      <c r="BH101">
        <f t="shared" si="67"/>
        <v>0.41000000000000014</v>
      </c>
      <c r="BI101" s="13">
        <f t="shared" si="68"/>
        <v>4.2999999999999972</v>
      </c>
    </row>
    <row r="102" spans="2:61" x14ac:dyDescent="0.25">
      <c r="B102" s="6"/>
      <c r="C102" s="7">
        <v>10.4</v>
      </c>
      <c r="D102" s="7">
        <v>9.6</v>
      </c>
      <c r="E102" s="7">
        <v>91</v>
      </c>
      <c r="F102" s="7">
        <v>71</v>
      </c>
      <c r="G102">
        <f t="shared" si="57"/>
        <v>0.80000000000000071</v>
      </c>
      <c r="H102" s="13">
        <f t="shared" si="58"/>
        <v>20</v>
      </c>
      <c r="L102" s="6"/>
      <c r="M102" s="7">
        <v>10.4</v>
      </c>
      <c r="N102" s="7">
        <v>9.6</v>
      </c>
      <c r="O102" s="7">
        <v>91</v>
      </c>
      <c r="P102" s="7">
        <v>61.2</v>
      </c>
      <c r="Q102" s="7">
        <f t="shared" si="59"/>
        <v>0.80000000000000071</v>
      </c>
      <c r="R102" s="8">
        <f t="shared" si="60"/>
        <v>29.799999999999997</v>
      </c>
      <c r="V102" s="6"/>
      <c r="W102" s="7">
        <v>10.4</v>
      </c>
      <c r="X102" s="7">
        <v>8.8000000000000007</v>
      </c>
      <c r="Y102" s="7">
        <v>91</v>
      </c>
      <c r="Z102" s="7">
        <v>93.5</v>
      </c>
      <c r="AA102" s="7">
        <f t="shared" si="61"/>
        <v>1.5999999999999996</v>
      </c>
      <c r="AB102" s="8">
        <f t="shared" si="62"/>
        <v>2.5</v>
      </c>
      <c r="AG102" s="6"/>
      <c r="AH102" s="7">
        <v>10.4</v>
      </c>
      <c r="AI102" s="7"/>
      <c r="AJ102" s="7">
        <v>91</v>
      </c>
      <c r="AK102" s="7">
        <v>163</v>
      </c>
      <c r="AL102" s="7">
        <f t="shared" si="63"/>
        <v>10.4</v>
      </c>
      <c r="AM102" s="8">
        <f t="shared" si="64"/>
        <v>72</v>
      </c>
      <c r="AR102" s="6"/>
      <c r="AS102" s="7">
        <v>10.4</v>
      </c>
      <c r="AT102" s="7">
        <v>9.6999999999999993</v>
      </c>
      <c r="AU102" s="7">
        <v>91</v>
      </c>
      <c r="AV102" s="7">
        <v>64.900000000000006</v>
      </c>
      <c r="AW102" s="7">
        <f t="shared" si="65"/>
        <v>0.70000000000000107</v>
      </c>
      <c r="AX102" s="8">
        <f t="shared" si="66"/>
        <v>26.099999999999994</v>
      </c>
      <c r="BC102" s="6"/>
      <c r="BD102" s="7">
        <v>10.4</v>
      </c>
      <c r="BE102" s="7">
        <v>9.61</v>
      </c>
      <c r="BF102" s="7">
        <v>91</v>
      </c>
      <c r="BG102" s="7">
        <v>101.3</v>
      </c>
      <c r="BH102" s="7">
        <f t="shared" si="67"/>
        <v>0.79000000000000092</v>
      </c>
      <c r="BI102" s="8">
        <f t="shared" si="68"/>
        <v>10.299999999999997</v>
      </c>
    </row>
    <row r="103" spans="2:61" x14ac:dyDescent="0.25">
      <c r="B103" s="3" t="s">
        <v>90</v>
      </c>
      <c r="C103" s="4">
        <v>8</v>
      </c>
      <c r="D103" s="4">
        <v>8</v>
      </c>
      <c r="E103" s="4">
        <v>90</v>
      </c>
      <c r="F103" s="4">
        <v>66.8</v>
      </c>
      <c r="G103" s="4">
        <f t="shared" si="57"/>
        <v>0</v>
      </c>
      <c r="H103" s="5">
        <f t="shared" si="58"/>
        <v>23.200000000000003</v>
      </c>
      <c r="L103" s="3" t="s">
        <v>90</v>
      </c>
      <c r="M103" s="4">
        <v>8</v>
      </c>
      <c r="N103" s="4">
        <v>9.5</v>
      </c>
      <c r="O103" s="4">
        <v>90</v>
      </c>
      <c r="P103" s="4">
        <v>60.4</v>
      </c>
      <c r="Q103" s="4">
        <f t="shared" si="59"/>
        <v>1.5</v>
      </c>
      <c r="R103" s="5">
        <f t="shared" si="60"/>
        <v>29.6</v>
      </c>
      <c r="V103" s="3" t="s">
        <v>90</v>
      </c>
      <c r="W103" s="4">
        <v>8</v>
      </c>
      <c r="X103" s="4">
        <v>7</v>
      </c>
      <c r="Y103" s="4">
        <v>90</v>
      </c>
      <c r="Z103" s="4">
        <v>95.8</v>
      </c>
      <c r="AA103" s="4">
        <f t="shared" si="61"/>
        <v>1</v>
      </c>
      <c r="AB103" s="5">
        <f t="shared" si="62"/>
        <v>5.7999999999999972</v>
      </c>
      <c r="AG103" s="3" t="s">
        <v>90</v>
      </c>
      <c r="AH103" s="4">
        <v>8</v>
      </c>
      <c r="AI103" s="4"/>
      <c r="AJ103" s="4">
        <v>90</v>
      </c>
      <c r="AK103" s="4">
        <v>67.3</v>
      </c>
      <c r="AL103" s="4">
        <f t="shared" si="63"/>
        <v>8</v>
      </c>
      <c r="AM103" s="5">
        <f t="shared" si="64"/>
        <v>22.700000000000003</v>
      </c>
      <c r="AR103" s="3" t="s">
        <v>90</v>
      </c>
      <c r="AS103" s="4">
        <v>8</v>
      </c>
      <c r="AT103" s="4">
        <v>10.1</v>
      </c>
      <c r="AU103" s="4">
        <v>90</v>
      </c>
      <c r="AV103" s="4">
        <v>67.8</v>
      </c>
      <c r="AW103" s="4">
        <f t="shared" si="65"/>
        <v>2.0999999999999996</v>
      </c>
      <c r="AX103" s="5">
        <f t="shared" si="66"/>
        <v>22.200000000000003</v>
      </c>
      <c r="BC103" s="3" t="s">
        <v>90</v>
      </c>
      <c r="BD103" s="4">
        <v>8</v>
      </c>
      <c r="BE103" s="4">
        <v>8.41</v>
      </c>
      <c r="BF103" s="4">
        <v>90</v>
      </c>
      <c r="BG103" s="4">
        <v>68.099999999999994</v>
      </c>
      <c r="BH103" s="4">
        <f t="shared" si="67"/>
        <v>0.41000000000000014</v>
      </c>
      <c r="BI103" s="5">
        <f t="shared" si="68"/>
        <v>21.900000000000006</v>
      </c>
    </row>
    <row r="104" spans="2:61" x14ac:dyDescent="0.25">
      <c r="B104" s="12"/>
      <c r="C104">
        <v>9.6</v>
      </c>
      <c r="D104">
        <v>8.8000000000000007</v>
      </c>
      <c r="E104">
        <v>67</v>
      </c>
      <c r="F104">
        <v>67</v>
      </c>
      <c r="G104">
        <f t="shared" si="57"/>
        <v>0.79999999999999893</v>
      </c>
      <c r="H104" s="13">
        <f t="shared" si="58"/>
        <v>0</v>
      </c>
      <c r="L104" s="12"/>
      <c r="M104">
        <v>9.6</v>
      </c>
      <c r="N104">
        <v>9.6</v>
      </c>
      <c r="O104">
        <v>67</v>
      </c>
      <c r="P104">
        <v>48.8</v>
      </c>
      <c r="Q104">
        <f t="shared" si="59"/>
        <v>0</v>
      </c>
      <c r="R104" s="13">
        <f t="shared" si="60"/>
        <v>18.200000000000003</v>
      </c>
      <c r="V104" s="12"/>
      <c r="W104">
        <v>9.6</v>
      </c>
      <c r="X104">
        <v>9.4</v>
      </c>
      <c r="Y104">
        <v>67</v>
      </c>
      <c r="Z104">
        <v>83.8</v>
      </c>
      <c r="AA104">
        <f t="shared" si="61"/>
        <v>0.19999999999999929</v>
      </c>
      <c r="AB104" s="13">
        <f t="shared" si="62"/>
        <v>16.799999999999997</v>
      </c>
      <c r="AG104" s="12"/>
      <c r="AH104">
        <v>9.6</v>
      </c>
      <c r="AJ104">
        <v>67</v>
      </c>
      <c r="AK104">
        <v>155</v>
      </c>
      <c r="AL104">
        <f t="shared" si="63"/>
        <v>9.6</v>
      </c>
      <c r="AM104" s="13">
        <f t="shared" si="64"/>
        <v>88</v>
      </c>
      <c r="AR104" s="12"/>
      <c r="AS104">
        <v>9.6</v>
      </c>
      <c r="AT104">
        <v>9.4</v>
      </c>
      <c r="AU104">
        <v>67</v>
      </c>
      <c r="AV104">
        <v>52.4</v>
      </c>
      <c r="AW104">
        <f t="shared" si="65"/>
        <v>0.19999999999999929</v>
      </c>
      <c r="AX104" s="13">
        <f t="shared" si="66"/>
        <v>14.600000000000001</v>
      </c>
      <c r="BC104" s="12"/>
      <c r="BD104">
        <v>9.6</v>
      </c>
      <c r="BE104">
        <v>9.2100000000000009</v>
      </c>
      <c r="BF104">
        <v>67</v>
      </c>
      <c r="BG104">
        <v>67.2</v>
      </c>
      <c r="BH104">
        <f t="shared" si="67"/>
        <v>0.38999999999999879</v>
      </c>
      <c r="BI104" s="13">
        <f t="shared" si="68"/>
        <v>0.20000000000000284</v>
      </c>
    </row>
    <row r="105" spans="2:61" x14ac:dyDescent="0.25">
      <c r="B105" s="6"/>
      <c r="C105" s="7">
        <v>12.8</v>
      </c>
      <c r="D105" s="7">
        <v>10.5</v>
      </c>
      <c r="E105" s="7">
        <v>104</v>
      </c>
      <c r="F105" s="7">
        <v>93</v>
      </c>
      <c r="G105" s="7">
        <f t="shared" si="57"/>
        <v>2.3000000000000007</v>
      </c>
      <c r="H105" s="8">
        <f t="shared" si="58"/>
        <v>11</v>
      </c>
      <c r="L105" s="6"/>
      <c r="M105" s="7">
        <v>12.8</v>
      </c>
      <c r="N105" s="7">
        <v>10</v>
      </c>
      <c r="O105" s="7">
        <v>104</v>
      </c>
      <c r="P105" s="7">
        <v>103.6</v>
      </c>
      <c r="Q105" s="7">
        <f t="shared" si="59"/>
        <v>2.8000000000000007</v>
      </c>
      <c r="R105" s="8">
        <f t="shared" si="60"/>
        <v>0.40000000000000568</v>
      </c>
      <c r="V105" s="6"/>
      <c r="W105" s="7">
        <v>12.8</v>
      </c>
      <c r="X105" s="7">
        <v>10.5</v>
      </c>
      <c r="Y105" s="7">
        <v>104</v>
      </c>
      <c r="Z105" s="7">
        <v>96.7</v>
      </c>
      <c r="AA105" s="7">
        <f t="shared" si="61"/>
        <v>2.3000000000000007</v>
      </c>
      <c r="AB105" s="8">
        <f t="shared" si="62"/>
        <v>7.2999999999999972</v>
      </c>
      <c r="AG105" s="6"/>
      <c r="AH105" s="7">
        <v>12.8</v>
      </c>
      <c r="AI105" s="7"/>
      <c r="AJ105" s="7">
        <v>104</v>
      </c>
      <c r="AK105" s="7">
        <v>103.3</v>
      </c>
      <c r="AL105" s="7">
        <f t="shared" si="63"/>
        <v>12.8</v>
      </c>
      <c r="AM105" s="8">
        <f t="shared" si="64"/>
        <v>0.70000000000000284</v>
      </c>
      <c r="AR105" s="6"/>
      <c r="AS105" s="7">
        <v>12.8</v>
      </c>
      <c r="AT105" s="7">
        <v>12.8</v>
      </c>
      <c r="AU105" s="7">
        <v>104</v>
      </c>
      <c r="AV105" s="7">
        <v>91.7</v>
      </c>
      <c r="AW105" s="7">
        <f t="shared" si="65"/>
        <v>0</v>
      </c>
      <c r="AX105" s="8">
        <f t="shared" si="66"/>
        <v>12.299999999999997</v>
      </c>
      <c r="BC105" s="6"/>
      <c r="BD105" s="7">
        <v>12.8</v>
      </c>
      <c r="BE105" s="7">
        <v>12.41</v>
      </c>
      <c r="BF105" s="7">
        <v>104</v>
      </c>
      <c r="BG105" s="7">
        <v>87.7</v>
      </c>
      <c r="BH105" s="7">
        <f t="shared" si="67"/>
        <v>0.39000000000000057</v>
      </c>
      <c r="BI105" s="8">
        <f t="shared" si="68"/>
        <v>16.299999999999997</v>
      </c>
    </row>
    <row r="106" spans="2:61" x14ac:dyDescent="0.25">
      <c r="B106" s="3" t="s">
        <v>91</v>
      </c>
      <c r="C106" s="4">
        <v>8</v>
      </c>
      <c r="D106" s="4">
        <v>8.5</v>
      </c>
      <c r="E106" s="4">
        <v>99</v>
      </c>
      <c r="F106" s="4">
        <v>87.8</v>
      </c>
      <c r="G106" s="4">
        <f t="shared" si="57"/>
        <v>0.5</v>
      </c>
      <c r="H106" s="5">
        <f t="shared" si="58"/>
        <v>11.200000000000003</v>
      </c>
      <c r="L106" s="3" t="s">
        <v>91</v>
      </c>
      <c r="M106" s="4">
        <v>8</v>
      </c>
      <c r="N106" s="4">
        <v>9.4</v>
      </c>
      <c r="O106" s="4">
        <v>99</v>
      </c>
      <c r="P106" s="4">
        <v>93.2</v>
      </c>
      <c r="Q106" s="4">
        <f t="shared" si="59"/>
        <v>1.4000000000000004</v>
      </c>
      <c r="R106" s="5">
        <f t="shared" si="60"/>
        <v>5.7999999999999972</v>
      </c>
      <c r="V106" s="3" t="s">
        <v>91</v>
      </c>
      <c r="W106" s="4">
        <v>8</v>
      </c>
      <c r="X106" s="4">
        <v>7.6</v>
      </c>
      <c r="Y106" s="4">
        <v>99</v>
      </c>
      <c r="Z106" s="4">
        <v>89.9</v>
      </c>
      <c r="AA106" s="4">
        <f t="shared" si="61"/>
        <v>0.40000000000000036</v>
      </c>
      <c r="AB106" s="5">
        <f t="shared" si="62"/>
        <v>9.0999999999999943</v>
      </c>
      <c r="AG106" s="3" t="s">
        <v>91</v>
      </c>
      <c r="AH106" s="4">
        <v>8</v>
      </c>
      <c r="AI106" s="4"/>
      <c r="AJ106" s="4">
        <v>99</v>
      </c>
      <c r="AK106" s="4">
        <v>93</v>
      </c>
      <c r="AL106" s="4">
        <f t="shared" si="63"/>
        <v>8</v>
      </c>
      <c r="AM106" s="5">
        <f t="shared" si="64"/>
        <v>6</v>
      </c>
      <c r="AR106" s="3" t="s">
        <v>91</v>
      </c>
      <c r="AS106" s="4">
        <v>8</v>
      </c>
      <c r="AT106" s="4">
        <v>9.6</v>
      </c>
      <c r="AU106" s="4">
        <v>99</v>
      </c>
      <c r="AV106" s="4">
        <v>74.400000000000006</v>
      </c>
      <c r="AW106" s="4">
        <f t="shared" si="65"/>
        <v>1.5999999999999996</v>
      </c>
      <c r="AX106" s="5">
        <f t="shared" si="66"/>
        <v>24.599999999999994</v>
      </c>
      <c r="BC106" s="3" t="s">
        <v>91</v>
      </c>
      <c r="BD106" s="4">
        <v>8</v>
      </c>
      <c r="BE106" s="4">
        <v>9.61</v>
      </c>
      <c r="BF106" s="4">
        <v>99</v>
      </c>
      <c r="BG106" s="4">
        <v>93.7</v>
      </c>
      <c r="BH106" s="4">
        <f t="shared" si="67"/>
        <v>1.6099999999999994</v>
      </c>
      <c r="BI106" s="5">
        <f t="shared" si="68"/>
        <v>5.2999999999999972</v>
      </c>
    </row>
    <row r="107" spans="2:61" x14ac:dyDescent="0.25">
      <c r="B107" s="12"/>
      <c r="C107">
        <v>8.8000000000000007</v>
      </c>
      <c r="D107">
        <v>8.6</v>
      </c>
      <c r="E107">
        <v>69</v>
      </c>
      <c r="F107">
        <v>82.1</v>
      </c>
      <c r="G107">
        <f t="shared" si="57"/>
        <v>0.20000000000000107</v>
      </c>
      <c r="H107" s="13">
        <f t="shared" si="58"/>
        <v>13.099999999999994</v>
      </c>
      <c r="L107" s="12"/>
      <c r="M107">
        <v>8.8000000000000007</v>
      </c>
      <c r="N107">
        <v>9.5</v>
      </c>
      <c r="O107">
        <v>69</v>
      </c>
      <c r="P107">
        <v>55.2</v>
      </c>
      <c r="Q107">
        <f t="shared" si="59"/>
        <v>0.69999999999999929</v>
      </c>
      <c r="R107" s="13">
        <f t="shared" si="60"/>
        <v>13.799999999999997</v>
      </c>
      <c r="V107" s="12"/>
      <c r="W107">
        <v>8.8000000000000007</v>
      </c>
      <c r="X107">
        <v>8.5</v>
      </c>
      <c r="Y107">
        <v>69</v>
      </c>
      <c r="Z107">
        <v>102</v>
      </c>
      <c r="AA107">
        <f t="shared" si="61"/>
        <v>0.30000000000000071</v>
      </c>
      <c r="AB107" s="13">
        <f t="shared" si="62"/>
        <v>33</v>
      </c>
      <c r="AG107" s="12"/>
      <c r="AH107">
        <v>8.8000000000000007</v>
      </c>
      <c r="AJ107">
        <v>69</v>
      </c>
      <c r="AK107">
        <v>123.3</v>
      </c>
      <c r="AL107">
        <f t="shared" si="63"/>
        <v>8.8000000000000007</v>
      </c>
      <c r="AM107" s="13">
        <f t="shared" si="64"/>
        <v>54.3</v>
      </c>
      <c r="AR107" s="12"/>
      <c r="AS107">
        <v>8.8000000000000007</v>
      </c>
      <c r="AT107">
        <v>8.8000000000000007</v>
      </c>
      <c r="AU107">
        <v>69</v>
      </c>
      <c r="AV107">
        <v>79.599999999999994</v>
      </c>
      <c r="AW107">
        <f t="shared" si="65"/>
        <v>0</v>
      </c>
      <c r="AX107" s="13">
        <f t="shared" si="66"/>
        <v>10.599999999999994</v>
      </c>
      <c r="BC107" s="12"/>
      <c r="BD107">
        <v>8.8000000000000007</v>
      </c>
      <c r="BE107">
        <v>8.81</v>
      </c>
      <c r="BF107">
        <v>69</v>
      </c>
      <c r="BG107">
        <v>55.2</v>
      </c>
      <c r="BH107">
        <f t="shared" si="67"/>
        <v>9.9999999999997868E-3</v>
      </c>
      <c r="BI107" s="13">
        <f t="shared" si="68"/>
        <v>13.799999999999997</v>
      </c>
    </row>
    <row r="108" spans="2:61" x14ac:dyDescent="0.25">
      <c r="B108" s="6"/>
      <c r="C108" s="7">
        <v>10.8</v>
      </c>
      <c r="D108" s="7">
        <v>10.1</v>
      </c>
      <c r="E108" s="7">
        <v>100</v>
      </c>
      <c r="F108" s="7">
        <v>85</v>
      </c>
      <c r="G108" s="7">
        <f t="shared" si="57"/>
        <v>0.70000000000000107</v>
      </c>
      <c r="H108" s="8">
        <f t="shared" si="58"/>
        <v>15</v>
      </c>
      <c r="L108" s="6"/>
      <c r="M108" s="7">
        <v>10.8</v>
      </c>
      <c r="N108" s="7">
        <v>10.1</v>
      </c>
      <c r="O108" s="7">
        <v>100</v>
      </c>
      <c r="P108" s="7">
        <v>100.4</v>
      </c>
      <c r="Q108" s="7">
        <f t="shared" si="59"/>
        <v>0.70000000000000107</v>
      </c>
      <c r="R108" s="8">
        <f>ABS(O108-P108)</f>
        <v>0.40000000000000568</v>
      </c>
      <c r="V108" s="6"/>
      <c r="W108" s="7">
        <v>10.8</v>
      </c>
      <c r="X108" s="7">
        <v>10.5</v>
      </c>
      <c r="Y108" s="7">
        <v>100</v>
      </c>
      <c r="Z108" s="7">
        <v>93.2</v>
      </c>
      <c r="AA108" s="7">
        <f t="shared" si="61"/>
        <v>0.30000000000000071</v>
      </c>
      <c r="AB108" s="8">
        <f t="shared" si="62"/>
        <v>6.7999999999999972</v>
      </c>
      <c r="AG108" s="6"/>
      <c r="AH108" s="7">
        <v>10.8</v>
      </c>
      <c r="AI108" s="7"/>
      <c r="AJ108" s="7">
        <v>100</v>
      </c>
      <c r="AK108" s="7">
        <v>103.3</v>
      </c>
      <c r="AL108" s="7">
        <f t="shared" si="63"/>
        <v>10.8</v>
      </c>
      <c r="AM108" s="8">
        <f t="shared" si="64"/>
        <v>3.2999999999999972</v>
      </c>
      <c r="AR108" s="6"/>
      <c r="AS108" s="7">
        <v>10.8</v>
      </c>
      <c r="AT108" s="7">
        <v>11</v>
      </c>
      <c r="AU108" s="7">
        <v>100</v>
      </c>
      <c r="AV108" s="7">
        <v>104.8</v>
      </c>
      <c r="AW108" s="7">
        <f t="shared" si="65"/>
        <v>0.19999999999999929</v>
      </c>
      <c r="AX108" s="8">
        <f t="shared" si="66"/>
        <v>4.7999999999999972</v>
      </c>
      <c r="BC108" s="6"/>
      <c r="BD108" s="7">
        <v>10.8</v>
      </c>
      <c r="BE108" s="7">
        <v>9.61</v>
      </c>
      <c r="BF108" s="7">
        <v>100</v>
      </c>
      <c r="BG108" s="7">
        <v>61.2</v>
      </c>
      <c r="BH108" s="7">
        <f t="shared" si="67"/>
        <v>1.1900000000000013</v>
      </c>
      <c r="BI108" s="8">
        <f t="shared" si="68"/>
        <v>38.799999999999997</v>
      </c>
    </row>
    <row r="109" spans="2:61" x14ac:dyDescent="0.25">
      <c r="B109" s="3" t="s">
        <v>92</v>
      </c>
      <c r="C109" s="4">
        <v>11.6</v>
      </c>
      <c r="D109" s="4">
        <v>9.9</v>
      </c>
      <c r="E109" s="4">
        <v>93</v>
      </c>
      <c r="F109" s="4">
        <v>76.400000000000006</v>
      </c>
      <c r="G109" s="4">
        <f t="shared" si="57"/>
        <v>1.6999999999999993</v>
      </c>
      <c r="H109" s="5">
        <f t="shared" si="58"/>
        <v>16.599999999999994</v>
      </c>
      <c r="L109" s="3" t="s">
        <v>92</v>
      </c>
      <c r="M109" s="4">
        <v>11.6</v>
      </c>
      <c r="N109" s="4">
        <v>9.8000000000000007</v>
      </c>
      <c r="O109" s="4">
        <v>93</v>
      </c>
      <c r="P109" s="4">
        <v>50</v>
      </c>
      <c r="Q109" s="4">
        <f t="shared" si="59"/>
        <v>1.7999999999999989</v>
      </c>
      <c r="R109" s="5">
        <f>ABS(O109-P109)</f>
        <v>43</v>
      </c>
      <c r="V109" s="3" t="s">
        <v>92</v>
      </c>
      <c r="W109" s="4">
        <v>11.6</v>
      </c>
      <c r="X109" s="4">
        <v>7.6</v>
      </c>
      <c r="Y109" s="4">
        <v>93</v>
      </c>
      <c r="Z109" s="4">
        <v>91.1</v>
      </c>
      <c r="AA109" s="4">
        <f t="shared" si="61"/>
        <v>4</v>
      </c>
      <c r="AB109" s="5">
        <f t="shared" si="62"/>
        <v>1.9000000000000057</v>
      </c>
      <c r="AG109" s="3" t="s">
        <v>92</v>
      </c>
      <c r="AH109" s="4">
        <v>11.6</v>
      </c>
      <c r="AI109" s="4"/>
      <c r="AJ109" s="4">
        <v>93</v>
      </c>
      <c r="AK109" s="4">
        <v>53.3</v>
      </c>
      <c r="AL109" s="4">
        <f t="shared" si="63"/>
        <v>11.6</v>
      </c>
      <c r="AM109" s="5">
        <f t="shared" si="64"/>
        <v>39.700000000000003</v>
      </c>
      <c r="AR109" s="3" t="s">
        <v>92</v>
      </c>
      <c r="AS109" s="4">
        <v>11.6</v>
      </c>
      <c r="AT109" s="4">
        <v>9.4</v>
      </c>
      <c r="AU109" s="4">
        <v>93</v>
      </c>
      <c r="AV109" s="4">
        <v>51.9</v>
      </c>
      <c r="AW109" s="4">
        <f t="shared" si="65"/>
        <v>2.1999999999999993</v>
      </c>
      <c r="AX109" s="5">
        <f t="shared" si="66"/>
        <v>41.1</v>
      </c>
      <c r="BC109" s="3" t="s">
        <v>92</v>
      </c>
      <c r="BD109" s="4">
        <v>11.6</v>
      </c>
      <c r="BE109">
        <v>9.2100000000000009</v>
      </c>
      <c r="BF109" s="4">
        <v>93</v>
      </c>
      <c r="BG109">
        <v>58.8</v>
      </c>
      <c r="BH109" s="4">
        <f t="shared" si="67"/>
        <v>2.3899999999999988</v>
      </c>
      <c r="BI109" s="5">
        <f t="shared" si="68"/>
        <v>34.200000000000003</v>
      </c>
    </row>
    <row r="110" spans="2:61" x14ac:dyDescent="0.25">
      <c r="B110" s="12"/>
      <c r="C110">
        <v>8.8000000000000007</v>
      </c>
      <c r="D110">
        <v>8.6999999999999993</v>
      </c>
      <c r="E110">
        <v>67</v>
      </c>
      <c r="F110">
        <v>72</v>
      </c>
      <c r="G110">
        <f t="shared" si="57"/>
        <v>0.10000000000000142</v>
      </c>
      <c r="H110" s="13">
        <f t="shared" si="58"/>
        <v>5</v>
      </c>
      <c r="L110" s="12"/>
      <c r="M110">
        <v>8.8000000000000007</v>
      </c>
      <c r="N110">
        <v>9.1</v>
      </c>
      <c r="O110">
        <v>67</v>
      </c>
      <c r="P110">
        <v>62.8</v>
      </c>
      <c r="Q110">
        <f t="shared" si="59"/>
        <v>0.29999999999999893</v>
      </c>
      <c r="R110" s="13">
        <f t="shared" si="60"/>
        <v>4.2000000000000028</v>
      </c>
      <c r="V110" s="12"/>
      <c r="W110">
        <v>8.8000000000000007</v>
      </c>
      <c r="X110">
        <v>8.5</v>
      </c>
      <c r="Y110">
        <v>67</v>
      </c>
      <c r="Z110">
        <v>94.3</v>
      </c>
      <c r="AA110">
        <f t="shared" si="61"/>
        <v>0.30000000000000071</v>
      </c>
      <c r="AB110" s="13">
        <f t="shared" si="62"/>
        <v>27.299999999999997</v>
      </c>
      <c r="AG110" s="12"/>
      <c r="AH110">
        <v>8.8000000000000007</v>
      </c>
      <c r="AJ110">
        <v>67</v>
      </c>
      <c r="AK110">
        <v>62.8</v>
      </c>
      <c r="AL110">
        <f t="shared" si="63"/>
        <v>8.8000000000000007</v>
      </c>
      <c r="AM110" s="13">
        <f t="shared" si="64"/>
        <v>4.2000000000000028</v>
      </c>
      <c r="AR110" s="12"/>
      <c r="AS110">
        <v>8.8000000000000007</v>
      </c>
      <c r="AT110">
        <v>8.4</v>
      </c>
      <c r="AU110">
        <v>67</v>
      </c>
      <c r="AV110">
        <v>58.6</v>
      </c>
      <c r="AW110">
        <f t="shared" si="65"/>
        <v>0.40000000000000036</v>
      </c>
      <c r="AX110" s="13">
        <f t="shared" si="66"/>
        <v>8.3999999999999986</v>
      </c>
      <c r="BC110" s="12"/>
      <c r="BD110">
        <v>8.8000000000000007</v>
      </c>
      <c r="BE110">
        <v>8.41</v>
      </c>
      <c r="BF110">
        <v>67</v>
      </c>
      <c r="BG110">
        <v>62.8</v>
      </c>
      <c r="BH110">
        <f t="shared" si="67"/>
        <v>0.39000000000000057</v>
      </c>
      <c r="BI110" s="13">
        <f t="shared" si="68"/>
        <v>4.2000000000000028</v>
      </c>
    </row>
    <row r="111" spans="2:61" x14ac:dyDescent="0.25">
      <c r="B111" s="6"/>
      <c r="C111" s="7">
        <v>10</v>
      </c>
      <c r="D111" s="7">
        <v>9.6</v>
      </c>
      <c r="E111" s="7">
        <v>104</v>
      </c>
      <c r="F111" s="7">
        <v>80.900000000000006</v>
      </c>
      <c r="G111" s="7">
        <f t="shared" si="57"/>
        <v>0.40000000000000036</v>
      </c>
      <c r="H111" s="8">
        <f t="shared" si="58"/>
        <v>23.099999999999994</v>
      </c>
      <c r="L111" s="6"/>
      <c r="M111" s="7">
        <v>10</v>
      </c>
      <c r="N111" s="7">
        <v>9.6999999999999993</v>
      </c>
      <c r="O111" s="7">
        <v>104</v>
      </c>
      <c r="P111" s="7">
        <v>106.8</v>
      </c>
      <c r="Q111" s="7">
        <f t="shared" si="59"/>
        <v>0.30000000000000071</v>
      </c>
      <c r="R111" s="8">
        <f t="shared" si="60"/>
        <v>2.7999999999999972</v>
      </c>
      <c r="V111" s="6"/>
      <c r="W111" s="7">
        <v>10</v>
      </c>
      <c r="X111" s="7">
        <v>8.1999999999999993</v>
      </c>
      <c r="Y111" s="7">
        <v>104</v>
      </c>
      <c r="Z111" s="7">
        <v>93.2</v>
      </c>
      <c r="AA111" s="7">
        <f t="shared" si="61"/>
        <v>1.8000000000000007</v>
      </c>
      <c r="AB111" s="8">
        <f t="shared" si="62"/>
        <v>10.799999999999997</v>
      </c>
      <c r="AG111" s="6"/>
      <c r="AH111" s="7">
        <v>10</v>
      </c>
      <c r="AI111" s="7"/>
      <c r="AJ111" s="7">
        <v>104</v>
      </c>
      <c r="AK111" s="7">
        <v>105.1</v>
      </c>
      <c r="AL111" s="7">
        <f t="shared" si="63"/>
        <v>10</v>
      </c>
      <c r="AM111" s="8">
        <f t="shared" si="64"/>
        <v>1.0999999999999943</v>
      </c>
      <c r="AR111" s="6"/>
      <c r="AS111" s="7">
        <v>10</v>
      </c>
      <c r="AT111" s="7">
        <v>8.6999999999999993</v>
      </c>
      <c r="AU111" s="7">
        <v>104</v>
      </c>
      <c r="AV111" s="7">
        <v>80.2</v>
      </c>
      <c r="AW111" s="7">
        <f t="shared" si="65"/>
        <v>1.3000000000000007</v>
      </c>
      <c r="AX111" s="8">
        <f t="shared" si="66"/>
        <v>23.799999999999997</v>
      </c>
      <c r="BC111" s="6"/>
      <c r="BD111" s="7">
        <v>10</v>
      </c>
      <c r="BE111">
        <v>23.62</v>
      </c>
      <c r="BF111" s="7">
        <v>104</v>
      </c>
      <c r="BG111">
        <v>58.4</v>
      </c>
      <c r="BH111" s="7">
        <f t="shared" si="67"/>
        <v>13.620000000000001</v>
      </c>
      <c r="BI111" s="8">
        <f t="shared" si="68"/>
        <v>45.6</v>
      </c>
    </row>
    <row r="112" spans="2:61" x14ac:dyDescent="0.25">
      <c r="B112" s="3" t="s">
        <v>93</v>
      </c>
      <c r="C112" s="4">
        <v>10</v>
      </c>
      <c r="D112" s="4">
        <v>9.1999999999999993</v>
      </c>
      <c r="E112" s="4">
        <v>88</v>
      </c>
      <c r="F112" s="4">
        <v>68.8</v>
      </c>
      <c r="G112">
        <f t="shared" si="57"/>
        <v>0.80000000000000071</v>
      </c>
      <c r="H112" s="13">
        <f t="shared" si="58"/>
        <v>19.200000000000003</v>
      </c>
      <c r="L112" s="3" t="s">
        <v>93</v>
      </c>
      <c r="M112" s="4">
        <v>10</v>
      </c>
      <c r="N112" s="4">
        <v>9.5</v>
      </c>
      <c r="O112" s="4">
        <v>88</v>
      </c>
      <c r="P112" s="4">
        <v>82.4</v>
      </c>
      <c r="Q112">
        <f t="shared" si="59"/>
        <v>0.5</v>
      </c>
      <c r="R112" s="13">
        <f t="shared" si="60"/>
        <v>5.5999999999999943</v>
      </c>
      <c r="V112" s="3" t="s">
        <v>93</v>
      </c>
      <c r="W112" s="4">
        <v>10</v>
      </c>
      <c r="X112" s="4">
        <v>8.1999999999999993</v>
      </c>
      <c r="Y112" s="4">
        <v>88</v>
      </c>
      <c r="Z112" s="4">
        <v>95.5</v>
      </c>
      <c r="AA112">
        <f t="shared" si="61"/>
        <v>1.8000000000000007</v>
      </c>
      <c r="AB112" s="13">
        <f t="shared" si="62"/>
        <v>7.5</v>
      </c>
      <c r="AG112" s="3" t="s">
        <v>93</v>
      </c>
      <c r="AH112" s="4">
        <v>10</v>
      </c>
      <c r="AI112" s="4"/>
      <c r="AJ112" s="4">
        <v>88</v>
      </c>
      <c r="AK112" s="4">
        <v>171.3</v>
      </c>
      <c r="AL112">
        <f t="shared" si="63"/>
        <v>10</v>
      </c>
      <c r="AM112" s="13">
        <f t="shared" si="64"/>
        <v>83.300000000000011</v>
      </c>
      <c r="AR112" s="3" t="s">
        <v>93</v>
      </c>
      <c r="AS112" s="4">
        <v>10</v>
      </c>
      <c r="AT112" s="4">
        <v>8.4</v>
      </c>
      <c r="AU112" s="4">
        <v>88</v>
      </c>
      <c r="AV112" s="4">
        <v>55.6</v>
      </c>
      <c r="AW112">
        <f t="shared" si="65"/>
        <v>1.5999999999999996</v>
      </c>
      <c r="AX112" s="13">
        <f t="shared" si="66"/>
        <v>32.4</v>
      </c>
      <c r="BC112" s="3" t="s">
        <v>93</v>
      </c>
      <c r="BD112" s="4">
        <v>10</v>
      </c>
      <c r="BE112" s="4">
        <v>8.41</v>
      </c>
      <c r="BF112" s="4">
        <v>88</v>
      </c>
      <c r="BG112" s="4">
        <v>55.6</v>
      </c>
      <c r="BH112">
        <f t="shared" si="67"/>
        <v>1.5899999999999999</v>
      </c>
      <c r="BI112" s="13">
        <f t="shared" si="68"/>
        <v>32.4</v>
      </c>
    </row>
    <row r="113" spans="2:61" x14ac:dyDescent="0.25">
      <c r="B113" s="12"/>
      <c r="C113">
        <v>8.8000000000000007</v>
      </c>
      <c r="D113">
        <v>8.3000000000000007</v>
      </c>
      <c r="E113">
        <v>69</v>
      </c>
      <c r="F113">
        <v>80</v>
      </c>
      <c r="G113">
        <f t="shared" si="57"/>
        <v>0.5</v>
      </c>
      <c r="H113" s="13">
        <f t="shared" si="58"/>
        <v>11</v>
      </c>
      <c r="L113" s="12"/>
      <c r="M113">
        <v>8.8000000000000007</v>
      </c>
      <c r="N113">
        <v>9.4</v>
      </c>
      <c r="O113">
        <v>69</v>
      </c>
      <c r="P113">
        <v>102.8</v>
      </c>
      <c r="Q113">
        <f t="shared" si="59"/>
        <v>0.59999999999999964</v>
      </c>
      <c r="R113" s="13">
        <f t="shared" si="60"/>
        <v>33.799999999999997</v>
      </c>
      <c r="V113" s="12"/>
      <c r="W113">
        <v>8.8000000000000007</v>
      </c>
      <c r="X113">
        <v>8.1999999999999993</v>
      </c>
      <c r="Y113">
        <v>69</v>
      </c>
      <c r="Z113">
        <v>92</v>
      </c>
      <c r="AA113">
        <f t="shared" si="61"/>
        <v>0.60000000000000142</v>
      </c>
      <c r="AB113" s="13">
        <f t="shared" si="62"/>
        <v>23</v>
      </c>
      <c r="AG113" s="12"/>
      <c r="AH113">
        <v>8.8000000000000007</v>
      </c>
      <c r="AJ113">
        <v>69</v>
      </c>
      <c r="AK113">
        <v>94.3</v>
      </c>
      <c r="AL113">
        <f t="shared" si="63"/>
        <v>8.8000000000000007</v>
      </c>
      <c r="AM113" s="13">
        <f t="shared" si="64"/>
        <v>25.299999999999997</v>
      </c>
      <c r="AR113" s="12"/>
      <c r="AS113">
        <v>8.8000000000000007</v>
      </c>
      <c r="AT113">
        <v>9</v>
      </c>
      <c r="AU113">
        <v>69</v>
      </c>
      <c r="AV113">
        <v>66</v>
      </c>
      <c r="AW113">
        <f t="shared" si="65"/>
        <v>0.19999999999999929</v>
      </c>
      <c r="AX113" s="13">
        <f t="shared" si="66"/>
        <v>3</v>
      </c>
      <c r="BC113" s="12"/>
      <c r="BD113">
        <v>8.8000000000000007</v>
      </c>
      <c r="BE113">
        <v>8.81</v>
      </c>
      <c r="BF113">
        <v>69</v>
      </c>
      <c r="BG113">
        <v>84.9</v>
      </c>
      <c r="BH113">
        <f t="shared" si="67"/>
        <v>9.9999999999997868E-3</v>
      </c>
      <c r="BI113" s="13">
        <f t="shared" si="68"/>
        <v>15.900000000000006</v>
      </c>
    </row>
    <row r="114" spans="2:61" x14ac:dyDescent="0.25">
      <c r="B114" s="6"/>
      <c r="C114" s="7">
        <v>9.1999999999999993</v>
      </c>
      <c r="D114" s="7">
        <v>8.9</v>
      </c>
      <c r="E114" s="7">
        <v>109</v>
      </c>
      <c r="F114" s="7">
        <v>85.4</v>
      </c>
      <c r="G114" s="7">
        <f t="shared" si="57"/>
        <v>0.29999999999999893</v>
      </c>
      <c r="H114" s="8">
        <f t="shared" si="58"/>
        <v>23.599999999999994</v>
      </c>
      <c r="L114" s="6"/>
      <c r="M114" s="7">
        <v>9.1999999999999993</v>
      </c>
      <c r="N114" s="7">
        <v>9.4</v>
      </c>
      <c r="O114" s="7">
        <v>109</v>
      </c>
      <c r="P114" s="7">
        <v>101.6</v>
      </c>
      <c r="Q114" s="7">
        <f t="shared" si="59"/>
        <v>0.20000000000000107</v>
      </c>
      <c r="R114" s="8">
        <f t="shared" si="60"/>
        <v>7.4000000000000057</v>
      </c>
      <c r="V114" s="6"/>
      <c r="W114" s="7">
        <v>9.1999999999999993</v>
      </c>
      <c r="X114" s="7">
        <v>8.1999999999999993</v>
      </c>
      <c r="Y114" s="7">
        <v>109</v>
      </c>
      <c r="Z114" s="7">
        <v>98.4</v>
      </c>
      <c r="AA114" s="7">
        <f t="shared" si="61"/>
        <v>1</v>
      </c>
      <c r="AB114" s="8">
        <f t="shared" si="62"/>
        <v>10.599999999999994</v>
      </c>
      <c r="AG114" s="6"/>
      <c r="AH114" s="7">
        <v>9.1999999999999993</v>
      </c>
      <c r="AI114" s="7"/>
      <c r="AJ114" s="7">
        <v>109</v>
      </c>
      <c r="AK114" s="7">
        <v>112.5</v>
      </c>
      <c r="AL114">
        <f t="shared" si="63"/>
        <v>9.1999999999999993</v>
      </c>
      <c r="AM114" s="13">
        <f t="shared" si="64"/>
        <v>3.5</v>
      </c>
      <c r="AR114" s="6"/>
      <c r="AS114" s="7">
        <v>9.1999999999999993</v>
      </c>
      <c r="AT114" s="7">
        <v>8.6999999999999993</v>
      </c>
      <c r="AU114" s="7">
        <v>109</v>
      </c>
      <c r="AV114" s="7">
        <v>76.2</v>
      </c>
      <c r="AW114" s="7">
        <f t="shared" si="65"/>
        <v>0.5</v>
      </c>
      <c r="AX114" s="8">
        <f t="shared" si="66"/>
        <v>32.799999999999997</v>
      </c>
      <c r="BC114" s="6"/>
      <c r="BD114" s="7">
        <v>9.1999999999999993</v>
      </c>
      <c r="BE114">
        <v>8.81</v>
      </c>
      <c r="BF114" s="7">
        <v>109</v>
      </c>
      <c r="BG114">
        <v>66.8</v>
      </c>
      <c r="BH114" s="7">
        <f t="shared" si="67"/>
        <v>0.38999999999999879</v>
      </c>
      <c r="BI114" s="8">
        <f t="shared" si="68"/>
        <v>42.2</v>
      </c>
    </row>
    <row r="115" spans="2:61" x14ac:dyDescent="0.25">
      <c r="B115" s="3" t="s">
        <v>94</v>
      </c>
      <c r="C115" s="4">
        <v>13.2</v>
      </c>
      <c r="D115" s="4">
        <v>13</v>
      </c>
      <c r="E115" s="4">
        <v>103</v>
      </c>
      <c r="F115" s="4">
        <v>55</v>
      </c>
      <c r="G115" s="4">
        <f t="shared" si="57"/>
        <v>0.19999999999999929</v>
      </c>
      <c r="H115" s="5">
        <f t="shared" si="58"/>
        <v>48</v>
      </c>
      <c r="L115" s="3" t="s">
        <v>94</v>
      </c>
      <c r="M115" s="4">
        <v>13.2</v>
      </c>
      <c r="N115" s="4">
        <v>13.4</v>
      </c>
      <c r="O115" s="4">
        <v>103</v>
      </c>
      <c r="P115" s="4">
        <v>62.8</v>
      </c>
      <c r="Q115" s="4">
        <f t="shared" si="59"/>
        <v>0.20000000000000107</v>
      </c>
      <c r="R115" s="5">
        <f t="shared" si="60"/>
        <v>40.200000000000003</v>
      </c>
      <c r="V115" s="3" t="s">
        <v>94</v>
      </c>
      <c r="W115" s="4">
        <v>13.2</v>
      </c>
      <c r="X115" s="4">
        <v>12.9</v>
      </c>
      <c r="Y115" s="4">
        <v>103</v>
      </c>
      <c r="Z115" s="4">
        <v>97</v>
      </c>
      <c r="AA115" s="4">
        <f t="shared" si="61"/>
        <v>0.29999999999999893</v>
      </c>
      <c r="AB115" s="5">
        <f t="shared" si="62"/>
        <v>6</v>
      </c>
      <c r="AG115" s="3" t="s">
        <v>94</v>
      </c>
      <c r="AH115" s="4">
        <v>13.2</v>
      </c>
      <c r="AI115" s="4"/>
      <c r="AJ115" s="4">
        <v>103</v>
      </c>
      <c r="AK115" s="4">
        <v>126</v>
      </c>
      <c r="AL115" s="4">
        <f t="shared" si="63"/>
        <v>13.2</v>
      </c>
      <c r="AM115" s="5">
        <f t="shared" si="64"/>
        <v>23</v>
      </c>
      <c r="AR115" s="3" t="s">
        <v>94</v>
      </c>
      <c r="AS115" s="4">
        <v>13.2</v>
      </c>
      <c r="AT115" s="4">
        <v>13</v>
      </c>
      <c r="AU115" s="4">
        <v>103</v>
      </c>
      <c r="AV115" s="4">
        <v>58.7</v>
      </c>
      <c r="AW115" s="4">
        <f t="shared" si="65"/>
        <v>0.19999999999999929</v>
      </c>
      <c r="AX115" s="5">
        <f t="shared" si="66"/>
        <v>44.3</v>
      </c>
      <c r="BC115" s="3" t="s">
        <v>94</v>
      </c>
      <c r="BD115" s="4">
        <v>13.2</v>
      </c>
      <c r="BE115" s="4">
        <v>13.21</v>
      </c>
      <c r="BF115" s="4">
        <v>103</v>
      </c>
      <c r="BG115" s="4">
        <v>96.1</v>
      </c>
      <c r="BH115" s="4">
        <f t="shared" si="67"/>
        <v>1.0000000000001563E-2</v>
      </c>
      <c r="BI115" s="5">
        <f t="shared" si="68"/>
        <v>6.9000000000000057</v>
      </c>
    </row>
    <row r="116" spans="2:61" x14ac:dyDescent="0.25">
      <c r="B116" s="12"/>
      <c r="C116">
        <v>8</v>
      </c>
      <c r="D116">
        <v>7.3</v>
      </c>
      <c r="E116">
        <v>85</v>
      </c>
      <c r="F116">
        <v>82.6</v>
      </c>
      <c r="G116">
        <f t="shared" si="57"/>
        <v>0.70000000000000018</v>
      </c>
      <c r="H116" s="13">
        <f t="shared" si="58"/>
        <v>2.4000000000000057</v>
      </c>
      <c r="L116" s="12"/>
      <c r="M116">
        <v>8</v>
      </c>
      <c r="N116">
        <v>7.7</v>
      </c>
      <c r="O116">
        <v>85</v>
      </c>
      <c r="P116">
        <v>89.6</v>
      </c>
      <c r="Q116">
        <f t="shared" si="59"/>
        <v>0.29999999999999982</v>
      </c>
      <c r="R116" s="13">
        <f t="shared" si="60"/>
        <v>4.5999999999999943</v>
      </c>
      <c r="V116" s="12"/>
      <c r="W116">
        <v>8</v>
      </c>
      <c r="X116">
        <v>7</v>
      </c>
      <c r="Y116">
        <v>85</v>
      </c>
      <c r="Z116">
        <v>94</v>
      </c>
      <c r="AA116">
        <f t="shared" si="61"/>
        <v>1</v>
      </c>
      <c r="AB116" s="13">
        <f t="shared" si="62"/>
        <v>9</v>
      </c>
      <c r="AG116" s="12"/>
      <c r="AH116">
        <v>8</v>
      </c>
      <c r="AJ116">
        <v>85</v>
      </c>
      <c r="AK116">
        <v>75.7</v>
      </c>
      <c r="AL116">
        <f t="shared" si="63"/>
        <v>8</v>
      </c>
      <c r="AM116" s="13">
        <f t="shared" si="64"/>
        <v>9.2999999999999972</v>
      </c>
      <c r="AR116" s="12"/>
      <c r="AS116">
        <v>8</v>
      </c>
      <c r="AT116">
        <v>7.4</v>
      </c>
      <c r="AU116">
        <v>85</v>
      </c>
      <c r="AV116">
        <v>85.2</v>
      </c>
      <c r="AW116">
        <f t="shared" si="65"/>
        <v>0.59999999999999964</v>
      </c>
      <c r="AX116" s="13">
        <f t="shared" si="66"/>
        <v>0.20000000000000284</v>
      </c>
      <c r="BC116" s="12"/>
      <c r="BD116">
        <v>8</v>
      </c>
      <c r="BE116">
        <v>7.61</v>
      </c>
      <c r="BF116">
        <v>85</v>
      </c>
      <c r="BG116">
        <v>62.8</v>
      </c>
      <c r="BH116">
        <f t="shared" si="67"/>
        <v>0.38999999999999968</v>
      </c>
      <c r="BI116" s="13">
        <f t="shared" si="68"/>
        <v>22.200000000000003</v>
      </c>
    </row>
    <row r="117" spans="2:61" x14ac:dyDescent="0.25">
      <c r="B117" s="12"/>
      <c r="C117">
        <v>7.2</v>
      </c>
      <c r="D117">
        <v>7</v>
      </c>
      <c r="E117">
        <v>71</v>
      </c>
      <c r="F117">
        <v>68.099999999999994</v>
      </c>
      <c r="G117">
        <f t="shared" si="57"/>
        <v>0.20000000000000018</v>
      </c>
      <c r="H117" s="13">
        <f t="shared" si="58"/>
        <v>2.9000000000000057</v>
      </c>
      <c r="L117" s="6"/>
      <c r="M117" s="7">
        <v>7.2</v>
      </c>
      <c r="N117" s="7">
        <v>7.3</v>
      </c>
      <c r="O117" s="7">
        <v>71</v>
      </c>
      <c r="P117" s="7">
        <v>50.4</v>
      </c>
      <c r="Q117" s="7">
        <f t="shared" si="59"/>
        <v>9.9999999999999645E-2</v>
      </c>
      <c r="R117" s="8">
        <f t="shared" si="60"/>
        <v>20.6</v>
      </c>
      <c r="V117" s="6"/>
      <c r="W117" s="7">
        <v>7.2</v>
      </c>
      <c r="X117" s="7">
        <v>7</v>
      </c>
      <c r="Y117" s="7">
        <v>71</v>
      </c>
      <c r="Z117" s="7">
        <v>101.4</v>
      </c>
      <c r="AA117">
        <f t="shared" si="61"/>
        <v>0.20000000000000018</v>
      </c>
      <c r="AB117" s="13">
        <f t="shared" si="62"/>
        <v>30.400000000000006</v>
      </c>
      <c r="AG117" s="6"/>
      <c r="AH117" s="7">
        <v>7.2</v>
      </c>
      <c r="AI117" s="7"/>
      <c r="AJ117" s="7">
        <v>71</v>
      </c>
      <c r="AK117" s="7">
        <v>72.400000000000006</v>
      </c>
      <c r="AL117" s="7">
        <f t="shared" si="63"/>
        <v>7.2</v>
      </c>
      <c r="AM117" s="8">
        <f t="shared" si="64"/>
        <v>1.4000000000000057</v>
      </c>
      <c r="AR117" s="6"/>
      <c r="AS117" s="7">
        <v>7.2</v>
      </c>
      <c r="AT117" s="7">
        <v>7.2</v>
      </c>
      <c r="AU117" s="7">
        <v>71</v>
      </c>
      <c r="AV117" s="7">
        <v>82.9</v>
      </c>
      <c r="AW117">
        <f t="shared" si="65"/>
        <v>0</v>
      </c>
      <c r="AX117" s="13">
        <f t="shared" si="66"/>
        <v>11.900000000000006</v>
      </c>
      <c r="BC117" s="6"/>
      <c r="BD117" s="7">
        <v>7.2</v>
      </c>
      <c r="BE117">
        <v>7.2</v>
      </c>
      <c r="BF117" s="7">
        <v>71</v>
      </c>
      <c r="BG117" s="7">
        <v>55.6</v>
      </c>
      <c r="BH117">
        <f t="shared" si="67"/>
        <v>0</v>
      </c>
      <c r="BI117" s="13">
        <f t="shared" si="68"/>
        <v>15.399999999999999</v>
      </c>
    </row>
    <row r="118" spans="2:61" x14ac:dyDescent="0.25">
      <c r="B118" s="3" t="s">
        <v>97</v>
      </c>
      <c r="C118" s="4">
        <v>11</v>
      </c>
      <c r="D118" s="4">
        <v>10.6</v>
      </c>
      <c r="E118" s="4">
        <v>101</v>
      </c>
      <c r="F118" s="4">
        <v>72.5</v>
      </c>
      <c r="G118" s="4">
        <f t="shared" si="57"/>
        <v>0.40000000000000036</v>
      </c>
      <c r="H118" s="5">
        <f t="shared" si="58"/>
        <v>28.5</v>
      </c>
      <c r="L118" s="3" t="s">
        <v>97</v>
      </c>
      <c r="M118" s="4">
        <v>11</v>
      </c>
      <c r="N118" s="4">
        <v>10.3</v>
      </c>
      <c r="O118" s="4">
        <v>101</v>
      </c>
      <c r="P118" s="4">
        <v>104.4</v>
      </c>
      <c r="Q118" s="4">
        <f t="shared" si="59"/>
        <v>0.69999999999999929</v>
      </c>
      <c r="R118" s="5">
        <f t="shared" si="60"/>
        <v>3.4000000000000057</v>
      </c>
      <c r="V118" s="3" t="s">
        <v>97</v>
      </c>
      <c r="W118" s="4">
        <v>11</v>
      </c>
      <c r="X118" s="4">
        <v>10.5</v>
      </c>
      <c r="Y118" s="4">
        <v>101</v>
      </c>
      <c r="Z118" s="4">
        <v>91.1</v>
      </c>
      <c r="AA118" s="4">
        <f t="shared" si="61"/>
        <v>0.5</v>
      </c>
      <c r="AB118" s="5">
        <f t="shared" si="62"/>
        <v>9.9000000000000057</v>
      </c>
      <c r="AG118" s="3" t="s">
        <v>97</v>
      </c>
      <c r="AH118" s="4">
        <v>11</v>
      </c>
      <c r="AI118" s="4"/>
      <c r="AJ118" s="4">
        <v>101</v>
      </c>
      <c r="AK118" s="4"/>
      <c r="AL118" s="4"/>
      <c r="AM118" s="5"/>
      <c r="AR118" s="3" t="s">
        <v>97</v>
      </c>
      <c r="AS118" s="4">
        <v>11</v>
      </c>
      <c r="AT118" s="4">
        <v>10.4</v>
      </c>
      <c r="AU118" s="4">
        <v>101</v>
      </c>
      <c r="AV118" s="4">
        <v>98.4</v>
      </c>
      <c r="AW118" s="4">
        <f t="shared" si="65"/>
        <v>0.59999999999999964</v>
      </c>
      <c r="AX118" s="5">
        <f t="shared" si="66"/>
        <v>2.5999999999999943</v>
      </c>
      <c r="BC118" s="3" t="s">
        <v>97</v>
      </c>
      <c r="BD118" s="4">
        <v>11</v>
      </c>
      <c r="BE118" s="4"/>
      <c r="BF118" s="4">
        <v>101</v>
      </c>
      <c r="BG118" s="4"/>
      <c r="BH118" s="4">
        <f t="shared" si="67"/>
        <v>11</v>
      </c>
      <c r="BI118" s="5">
        <f t="shared" si="68"/>
        <v>101</v>
      </c>
    </row>
    <row r="119" spans="2:61" x14ac:dyDescent="0.25">
      <c r="B119" s="12"/>
      <c r="C119">
        <v>11.2</v>
      </c>
      <c r="D119">
        <v>10.8</v>
      </c>
      <c r="E119">
        <v>97</v>
      </c>
      <c r="F119">
        <v>73.900000000000006</v>
      </c>
      <c r="G119">
        <f t="shared" si="57"/>
        <v>0.39999999999999858</v>
      </c>
      <c r="H119" s="13">
        <f t="shared" si="58"/>
        <v>23.099999999999994</v>
      </c>
      <c r="L119" s="12"/>
      <c r="M119">
        <v>11.2</v>
      </c>
      <c r="N119">
        <v>10.199999999999999</v>
      </c>
      <c r="O119">
        <v>97</v>
      </c>
      <c r="P119">
        <v>117.6</v>
      </c>
      <c r="Q119">
        <f t="shared" si="59"/>
        <v>1</v>
      </c>
      <c r="R119" s="13">
        <f t="shared" si="60"/>
        <v>20.599999999999994</v>
      </c>
      <c r="V119" s="12"/>
      <c r="W119">
        <v>11.2</v>
      </c>
      <c r="X119">
        <v>10.5</v>
      </c>
      <c r="Y119">
        <v>97</v>
      </c>
      <c r="Z119">
        <v>86.7</v>
      </c>
      <c r="AA119">
        <f t="shared" si="61"/>
        <v>0.69999999999999929</v>
      </c>
      <c r="AB119" s="13">
        <f t="shared" si="62"/>
        <v>10.299999999999997</v>
      </c>
      <c r="AG119" s="12"/>
      <c r="AH119">
        <v>11.2</v>
      </c>
      <c r="AJ119">
        <v>97</v>
      </c>
      <c r="AM119" s="13"/>
      <c r="AR119" s="12"/>
      <c r="AS119">
        <v>11.2</v>
      </c>
      <c r="AT119">
        <v>11</v>
      </c>
      <c r="AU119">
        <v>97</v>
      </c>
      <c r="AV119">
        <v>69.2</v>
      </c>
      <c r="AW119">
        <f t="shared" si="65"/>
        <v>0.19999999999999929</v>
      </c>
      <c r="AX119" s="13">
        <f t="shared" si="66"/>
        <v>27.799999999999997</v>
      </c>
      <c r="BC119" s="12"/>
      <c r="BD119">
        <v>11.2</v>
      </c>
      <c r="BF119">
        <v>97</v>
      </c>
      <c r="BH119">
        <f t="shared" si="67"/>
        <v>11.2</v>
      </c>
      <c r="BI119" s="13">
        <f t="shared" si="68"/>
        <v>97</v>
      </c>
    </row>
    <row r="120" spans="2:61" x14ac:dyDescent="0.25">
      <c r="B120" s="6"/>
      <c r="C120" s="7">
        <v>8.8000000000000007</v>
      </c>
      <c r="D120" s="7">
        <v>10</v>
      </c>
      <c r="E120" s="7">
        <v>75</v>
      </c>
      <c r="F120" s="7">
        <v>74.400000000000006</v>
      </c>
      <c r="G120">
        <f t="shared" si="57"/>
        <v>1.1999999999999993</v>
      </c>
      <c r="H120" s="13">
        <f t="shared" si="58"/>
        <v>0.59999999999999432</v>
      </c>
      <c r="L120" s="6"/>
      <c r="M120" s="7">
        <v>8.8000000000000007</v>
      </c>
      <c r="N120" s="7">
        <v>9.6999999999999993</v>
      </c>
      <c r="O120" s="7">
        <v>75</v>
      </c>
      <c r="P120" s="7">
        <v>90</v>
      </c>
      <c r="Q120" s="7">
        <f t="shared" si="59"/>
        <v>0.89999999999999858</v>
      </c>
      <c r="R120" s="8">
        <f t="shared" si="60"/>
        <v>15</v>
      </c>
      <c r="V120" s="6"/>
      <c r="W120" s="7">
        <v>8.8000000000000007</v>
      </c>
      <c r="X120" s="7">
        <v>7.9</v>
      </c>
      <c r="Y120" s="7">
        <v>75</v>
      </c>
      <c r="Z120" s="7">
        <v>86.1</v>
      </c>
      <c r="AA120" s="7">
        <f t="shared" si="61"/>
        <v>0.90000000000000036</v>
      </c>
      <c r="AB120" s="8">
        <f t="shared" si="62"/>
        <v>11.099999999999994</v>
      </c>
      <c r="AG120" s="6"/>
      <c r="AH120" s="7">
        <v>8.8000000000000007</v>
      </c>
      <c r="AI120" s="7"/>
      <c r="AJ120" s="7">
        <v>75</v>
      </c>
      <c r="AK120" s="7"/>
      <c r="AL120" s="7"/>
      <c r="AM120" s="8"/>
      <c r="AR120" s="6"/>
      <c r="AS120" s="7">
        <v>8.8000000000000007</v>
      </c>
      <c r="AT120" s="7">
        <v>10.5</v>
      </c>
      <c r="AU120" s="7">
        <v>75</v>
      </c>
      <c r="AV120" s="7">
        <v>76.7</v>
      </c>
      <c r="AW120">
        <f t="shared" si="65"/>
        <v>1.6999999999999993</v>
      </c>
      <c r="AX120" s="13">
        <f t="shared" si="66"/>
        <v>1.7000000000000028</v>
      </c>
      <c r="BC120" s="6"/>
      <c r="BD120" s="7">
        <v>8.8000000000000007</v>
      </c>
      <c r="BE120" s="7"/>
      <c r="BF120" s="7">
        <v>75</v>
      </c>
      <c r="BG120" s="7"/>
      <c r="BH120">
        <f t="shared" si="67"/>
        <v>8.8000000000000007</v>
      </c>
      <c r="BI120" s="13">
        <f t="shared" si="68"/>
        <v>75</v>
      </c>
    </row>
    <row r="121" spans="2:61" x14ac:dyDescent="0.25">
      <c r="B121" s="3" t="s">
        <v>98</v>
      </c>
      <c r="C121" s="4">
        <v>13</v>
      </c>
      <c r="D121" s="4">
        <v>12.7</v>
      </c>
      <c r="E121" s="4">
        <v>103</v>
      </c>
      <c r="F121" s="4">
        <v>71</v>
      </c>
      <c r="G121" s="4">
        <f>ABS(C121-D121)</f>
        <v>0.30000000000000071</v>
      </c>
      <c r="H121" s="5">
        <f t="shared" si="58"/>
        <v>32</v>
      </c>
      <c r="L121" s="3" t="s">
        <v>98</v>
      </c>
      <c r="M121" s="4">
        <v>13</v>
      </c>
      <c r="N121" s="4">
        <v>13.6</v>
      </c>
      <c r="O121" s="4">
        <v>103</v>
      </c>
      <c r="P121" s="4">
        <v>50</v>
      </c>
      <c r="Q121" s="4">
        <f t="shared" si="59"/>
        <v>0.59999999999999964</v>
      </c>
      <c r="R121" s="5">
        <f t="shared" si="60"/>
        <v>53</v>
      </c>
      <c r="V121" s="3" t="s">
        <v>98</v>
      </c>
      <c r="W121" s="4">
        <v>13</v>
      </c>
      <c r="X121" s="4">
        <v>12.6</v>
      </c>
      <c r="Y121" s="4">
        <v>103</v>
      </c>
      <c r="Z121" s="4">
        <v>93.5</v>
      </c>
      <c r="AA121" s="4">
        <f t="shared" si="61"/>
        <v>0.40000000000000036</v>
      </c>
      <c r="AB121" s="5">
        <f t="shared" si="62"/>
        <v>9.5</v>
      </c>
      <c r="AG121" s="3" t="s">
        <v>98</v>
      </c>
      <c r="AH121" s="4">
        <v>13</v>
      </c>
      <c r="AI121" s="4"/>
      <c r="AJ121" s="4">
        <v>103</v>
      </c>
      <c r="AK121" s="4"/>
      <c r="AL121" s="4"/>
      <c r="AM121" s="5"/>
      <c r="AR121" s="3" t="s">
        <v>98</v>
      </c>
      <c r="AS121" s="4">
        <v>13</v>
      </c>
      <c r="AT121" s="4">
        <v>12.4</v>
      </c>
      <c r="AU121" s="4">
        <v>103</v>
      </c>
      <c r="AV121" s="4">
        <v>82.1</v>
      </c>
      <c r="AW121" s="4">
        <f t="shared" si="65"/>
        <v>0.59999999999999964</v>
      </c>
      <c r="AX121" s="5">
        <f t="shared" si="66"/>
        <v>20.900000000000006</v>
      </c>
      <c r="BC121" s="3" t="s">
        <v>98</v>
      </c>
      <c r="BD121" s="4">
        <v>13</v>
      </c>
      <c r="BE121" s="4"/>
      <c r="BF121" s="4">
        <v>103</v>
      </c>
      <c r="BG121" s="4"/>
      <c r="BH121" s="4">
        <f t="shared" si="67"/>
        <v>13</v>
      </c>
      <c r="BI121" s="5">
        <f t="shared" si="68"/>
        <v>103</v>
      </c>
    </row>
    <row r="122" spans="2:61" x14ac:dyDescent="0.25">
      <c r="B122" s="12"/>
      <c r="C122">
        <v>9.6</v>
      </c>
      <c r="D122">
        <v>8.9</v>
      </c>
      <c r="E122">
        <v>101</v>
      </c>
      <c r="F122">
        <v>70.2</v>
      </c>
      <c r="G122">
        <f t="shared" ref="G122:G126" si="69">ABS(C122-D122)</f>
        <v>0.69999999999999929</v>
      </c>
      <c r="H122" s="13">
        <f t="shared" si="58"/>
        <v>30.799999999999997</v>
      </c>
      <c r="L122" s="12"/>
      <c r="M122">
        <v>9.6</v>
      </c>
      <c r="N122">
        <v>9.5</v>
      </c>
      <c r="O122">
        <v>101</v>
      </c>
      <c r="P122">
        <v>89.6</v>
      </c>
      <c r="Q122">
        <f t="shared" si="59"/>
        <v>9.9999999999999645E-2</v>
      </c>
      <c r="R122" s="13">
        <f t="shared" si="60"/>
        <v>11.400000000000006</v>
      </c>
      <c r="V122" s="12"/>
      <c r="W122">
        <v>9.6</v>
      </c>
      <c r="X122">
        <v>8.1999999999999993</v>
      </c>
      <c r="Y122">
        <v>101</v>
      </c>
      <c r="Z122">
        <v>86.7</v>
      </c>
      <c r="AA122">
        <f t="shared" si="61"/>
        <v>1.4000000000000004</v>
      </c>
      <c r="AB122" s="13">
        <f t="shared" si="62"/>
        <v>14.299999999999997</v>
      </c>
      <c r="AG122" s="12"/>
      <c r="AH122">
        <v>9.6</v>
      </c>
      <c r="AJ122">
        <v>101</v>
      </c>
      <c r="AM122" s="13"/>
      <c r="AR122" s="12"/>
      <c r="AS122">
        <v>9.6</v>
      </c>
      <c r="AT122">
        <v>9.1999999999999993</v>
      </c>
      <c r="AU122">
        <v>101</v>
      </c>
      <c r="AV122">
        <v>69.400000000000006</v>
      </c>
      <c r="AW122">
        <f t="shared" si="65"/>
        <v>0.40000000000000036</v>
      </c>
      <c r="AX122" s="13">
        <f t="shared" si="66"/>
        <v>31.599999999999994</v>
      </c>
      <c r="BC122" s="12"/>
      <c r="BD122">
        <v>9.6</v>
      </c>
      <c r="BF122">
        <v>101</v>
      </c>
      <c r="BH122">
        <f t="shared" si="67"/>
        <v>9.6</v>
      </c>
      <c r="BI122" s="13">
        <f t="shared" si="68"/>
        <v>101</v>
      </c>
    </row>
    <row r="123" spans="2:61" x14ac:dyDescent="0.25">
      <c r="B123" s="6"/>
      <c r="C123" s="7">
        <v>8.8000000000000007</v>
      </c>
      <c r="D123" s="7">
        <v>8.4</v>
      </c>
      <c r="E123" s="7">
        <v>68</v>
      </c>
      <c r="F123" s="7">
        <v>77.3</v>
      </c>
      <c r="G123" s="7">
        <f t="shared" si="69"/>
        <v>0.40000000000000036</v>
      </c>
      <c r="H123" s="8">
        <f t="shared" si="58"/>
        <v>9.2999999999999972</v>
      </c>
      <c r="L123" s="6"/>
      <c r="M123" s="7">
        <v>8.8000000000000007</v>
      </c>
      <c r="N123" s="7">
        <v>9.5</v>
      </c>
      <c r="O123" s="7">
        <v>68</v>
      </c>
      <c r="P123" s="7">
        <v>60.4</v>
      </c>
      <c r="Q123" s="7">
        <f t="shared" si="59"/>
        <v>0.69999999999999929</v>
      </c>
      <c r="R123" s="8">
        <f t="shared" si="60"/>
        <v>7.6000000000000014</v>
      </c>
      <c r="V123" s="6"/>
      <c r="W123" s="7">
        <v>8.8000000000000007</v>
      </c>
      <c r="X123" s="7">
        <v>7.9</v>
      </c>
      <c r="Y123" s="7">
        <v>68</v>
      </c>
      <c r="Z123" s="7">
        <v>81.2</v>
      </c>
      <c r="AA123" s="7">
        <f t="shared" si="61"/>
        <v>0.90000000000000036</v>
      </c>
      <c r="AB123" s="8">
        <f t="shared" si="62"/>
        <v>13.200000000000003</v>
      </c>
      <c r="AG123" s="6"/>
      <c r="AH123" s="7">
        <v>8.8000000000000007</v>
      </c>
      <c r="AI123" s="7"/>
      <c r="AJ123" s="7">
        <v>68</v>
      </c>
      <c r="AK123" s="7"/>
      <c r="AL123" s="7"/>
      <c r="AM123" s="8"/>
      <c r="AR123" s="6"/>
      <c r="AS123" s="7">
        <v>8.8000000000000007</v>
      </c>
      <c r="AT123" s="7">
        <v>8.6999999999999993</v>
      </c>
      <c r="AU123" s="7">
        <v>68</v>
      </c>
      <c r="AV123" s="7">
        <v>79.900000000000006</v>
      </c>
      <c r="AW123" s="7">
        <f t="shared" si="65"/>
        <v>0.10000000000000142</v>
      </c>
      <c r="AX123" s="8">
        <f t="shared" si="66"/>
        <v>11.900000000000006</v>
      </c>
      <c r="BC123" s="6"/>
      <c r="BD123" s="7">
        <v>8.8000000000000007</v>
      </c>
      <c r="BE123" s="7"/>
      <c r="BF123" s="7">
        <v>68</v>
      </c>
      <c r="BG123" s="7"/>
      <c r="BH123" s="7">
        <f t="shared" si="67"/>
        <v>8.8000000000000007</v>
      </c>
      <c r="BI123" s="8">
        <f t="shared" si="68"/>
        <v>68</v>
      </c>
    </row>
    <row r="124" spans="2:61" x14ac:dyDescent="0.25">
      <c r="B124" s="12" t="s">
        <v>99</v>
      </c>
      <c r="C124">
        <v>11.6</v>
      </c>
      <c r="D124">
        <v>11.2</v>
      </c>
      <c r="E124">
        <v>99</v>
      </c>
      <c r="F124">
        <v>68.900000000000006</v>
      </c>
      <c r="G124" s="4">
        <f t="shared" si="69"/>
        <v>0.40000000000000036</v>
      </c>
      <c r="H124" s="5">
        <f t="shared" si="58"/>
        <v>30.099999999999994</v>
      </c>
      <c r="L124" s="12" t="s">
        <v>99</v>
      </c>
      <c r="M124">
        <v>11.6</v>
      </c>
      <c r="N124">
        <v>10.7</v>
      </c>
      <c r="O124">
        <v>99</v>
      </c>
      <c r="P124">
        <v>61.6</v>
      </c>
      <c r="Q124">
        <f t="shared" si="59"/>
        <v>0.90000000000000036</v>
      </c>
      <c r="R124" s="13">
        <f t="shared" si="60"/>
        <v>37.4</v>
      </c>
      <c r="V124" s="12" t="s">
        <v>99</v>
      </c>
      <c r="W124">
        <v>11.6</v>
      </c>
      <c r="X124">
        <v>11.7</v>
      </c>
      <c r="Y124">
        <v>99</v>
      </c>
      <c r="Z124">
        <v>93.2</v>
      </c>
      <c r="AA124">
        <f>ABS(W124-X124)</f>
        <v>9.9999999999999645E-2</v>
      </c>
      <c r="AB124" s="13">
        <f t="shared" si="62"/>
        <v>5.7999999999999972</v>
      </c>
      <c r="AG124" s="12" t="s">
        <v>99</v>
      </c>
      <c r="AH124">
        <v>11.6</v>
      </c>
      <c r="AJ124">
        <v>99</v>
      </c>
      <c r="AM124" s="13"/>
      <c r="AR124" s="12" t="s">
        <v>99</v>
      </c>
      <c r="AS124">
        <v>11.6</v>
      </c>
      <c r="AT124">
        <v>11.5</v>
      </c>
      <c r="AU124">
        <v>99</v>
      </c>
      <c r="AV124">
        <v>65.2</v>
      </c>
      <c r="AW124" s="4">
        <f t="shared" si="65"/>
        <v>9.9999999999999645E-2</v>
      </c>
      <c r="AX124" s="5">
        <f t="shared" si="66"/>
        <v>33.799999999999997</v>
      </c>
      <c r="BC124" s="12" t="s">
        <v>99</v>
      </c>
      <c r="BD124">
        <v>11.6</v>
      </c>
      <c r="BF124">
        <v>99</v>
      </c>
      <c r="BH124" s="4">
        <f t="shared" si="67"/>
        <v>11.6</v>
      </c>
      <c r="BI124" s="5">
        <f t="shared" si="68"/>
        <v>99</v>
      </c>
    </row>
    <row r="125" spans="2:61" x14ac:dyDescent="0.25">
      <c r="B125" s="12"/>
      <c r="C125">
        <v>12</v>
      </c>
      <c r="D125">
        <v>12.3</v>
      </c>
      <c r="E125">
        <v>93</v>
      </c>
      <c r="F125">
        <v>71.7</v>
      </c>
      <c r="G125">
        <f t="shared" si="69"/>
        <v>0.30000000000000071</v>
      </c>
      <c r="H125" s="13">
        <f t="shared" si="58"/>
        <v>21.299999999999997</v>
      </c>
      <c r="L125" s="12"/>
      <c r="M125">
        <v>12</v>
      </c>
      <c r="N125">
        <v>9.8000000000000007</v>
      </c>
      <c r="O125">
        <v>93</v>
      </c>
      <c r="P125">
        <v>94.8</v>
      </c>
      <c r="Q125">
        <f t="shared" si="59"/>
        <v>2.1999999999999993</v>
      </c>
      <c r="R125" s="13">
        <f t="shared" si="60"/>
        <v>1.7999999999999972</v>
      </c>
      <c r="V125" s="12"/>
      <c r="W125">
        <v>12</v>
      </c>
      <c r="X125">
        <v>9.4</v>
      </c>
      <c r="Y125">
        <v>93</v>
      </c>
      <c r="Z125">
        <v>91.1</v>
      </c>
      <c r="AA125">
        <f t="shared" ref="AA125:AA126" si="70">ABS(W125-X125)</f>
        <v>2.5999999999999996</v>
      </c>
      <c r="AB125" s="13">
        <f t="shared" si="62"/>
        <v>1.9000000000000057</v>
      </c>
      <c r="AG125" s="12"/>
      <c r="AH125">
        <v>12</v>
      </c>
      <c r="AJ125">
        <v>93</v>
      </c>
      <c r="AM125" s="13"/>
      <c r="AR125" s="12"/>
      <c r="AS125">
        <v>12</v>
      </c>
      <c r="AT125">
        <v>9.4</v>
      </c>
      <c r="AU125">
        <v>93</v>
      </c>
      <c r="AV125">
        <v>100</v>
      </c>
      <c r="AW125">
        <f t="shared" si="65"/>
        <v>2.5999999999999996</v>
      </c>
      <c r="AX125" s="13">
        <f t="shared" si="66"/>
        <v>7</v>
      </c>
      <c r="BC125" s="12"/>
      <c r="BD125">
        <v>12</v>
      </c>
      <c r="BF125">
        <v>93</v>
      </c>
      <c r="BH125">
        <f t="shared" si="67"/>
        <v>12</v>
      </c>
      <c r="BI125" s="13">
        <f t="shared" si="68"/>
        <v>93</v>
      </c>
    </row>
    <row r="126" spans="2:61" x14ac:dyDescent="0.25">
      <c r="B126" s="6"/>
      <c r="C126" s="7">
        <v>9.1999999999999993</v>
      </c>
      <c r="D126" s="7">
        <v>9.8000000000000007</v>
      </c>
      <c r="E126" s="7">
        <v>68</v>
      </c>
      <c r="F126" s="7">
        <v>85.6</v>
      </c>
      <c r="G126" s="7">
        <f t="shared" si="69"/>
        <v>0.60000000000000142</v>
      </c>
      <c r="H126" s="8">
        <f t="shared" si="58"/>
        <v>17.599999999999994</v>
      </c>
      <c r="L126" s="6"/>
      <c r="M126" s="7">
        <v>9.1999999999999993</v>
      </c>
      <c r="N126" s="7">
        <v>9.6</v>
      </c>
      <c r="O126" s="7">
        <v>68</v>
      </c>
      <c r="P126" s="7">
        <v>92.4</v>
      </c>
      <c r="Q126" s="7">
        <f t="shared" si="59"/>
        <v>0.40000000000000036</v>
      </c>
      <c r="R126" s="8">
        <f t="shared" si="60"/>
        <v>24.400000000000006</v>
      </c>
      <c r="V126" s="6"/>
      <c r="W126" s="7">
        <v>9.1999999999999993</v>
      </c>
      <c r="X126" s="7">
        <v>8.8000000000000007</v>
      </c>
      <c r="Y126" s="7">
        <v>68</v>
      </c>
      <c r="Z126" s="7">
        <v>99.9</v>
      </c>
      <c r="AA126">
        <f t="shared" si="70"/>
        <v>0.39999999999999858</v>
      </c>
      <c r="AB126" s="13">
        <f t="shared" si="62"/>
        <v>31.900000000000006</v>
      </c>
      <c r="AG126" s="6"/>
      <c r="AH126" s="7">
        <v>9.1999999999999993</v>
      </c>
      <c r="AI126" s="7"/>
      <c r="AJ126" s="7">
        <v>68</v>
      </c>
      <c r="AK126" s="7"/>
      <c r="AL126" s="7"/>
      <c r="AM126" s="8"/>
      <c r="AR126" s="6"/>
      <c r="AS126" s="7">
        <v>9.1999999999999993</v>
      </c>
      <c r="AT126" s="7">
        <v>10.199999999999999</v>
      </c>
      <c r="AU126" s="7">
        <v>68</v>
      </c>
      <c r="AV126" s="7">
        <v>75.7</v>
      </c>
      <c r="AW126" s="7">
        <f t="shared" si="65"/>
        <v>1</v>
      </c>
      <c r="AX126" s="8">
        <f t="shared" si="66"/>
        <v>7.7000000000000028</v>
      </c>
      <c r="BC126" s="6"/>
      <c r="BD126" s="7">
        <v>9.1999999999999993</v>
      </c>
      <c r="BE126" s="7"/>
      <c r="BF126" s="7">
        <v>68</v>
      </c>
      <c r="BG126" s="7"/>
      <c r="BH126" s="7">
        <f t="shared" si="67"/>
        <v>9.1999999999999993</v>
      </c>
      <c r="BI126" s="8">
        <f t="shared" si="68"/>
        <v>68</v>
      </c>
    </row>
    <row r="127" spans="2:61" x14ac:dyDescent="0.25">
      <c r="B127" s="3" t="s">
        <v>95</v>
      </c>
      <c r="C127" s="4">
        <v>10</v>
      </c>
      <c r="D127" s="4">
        <v>10</v>
      </c>
      <c r="E127" s="4">
        <v>78</v>
      </c>
      <c r="F127" s="4">
        <v>60</v>
      </c>
      <c r="G127">
        <f t="shared" ref="G127:G132" si="71">ABS(C127-D127)</f>
        <v>0</v>
      </c>
      <c r="H127" s="13">
        <f t="shared" ref="H127:H132" si="72">ABS(E127-F127)</f>
        <v>18</v>
      </c>
      <c r="L127" s="3" t="s">
        <v>95</v>
      </c>
      <c r="M127" s="4">
        <v>10</v>
      </c>
      <c r="N127" s="4">
        <v>9.8000000000000007</v>
      </c>
      <c r="O127" s="4">
        <v>78</v>
      </c>
      <c r="P127" s="4">
        <v>59.2</v>
      </c>
      <c r="Q127" s="4">
        <f t="shared" ref="Q127:Q132" si="73">ABS(M127-N127)</f>
        <v>0.19999999999999929</v>
      </c>
      <c r="R127" s="5">
        <f t="shared" ref="R127:R132" si="74">ABS(O127-P127)</f>
        <v>18.799999999999997</v>
      </c>
      <c r="V127" s="3" t="s">
        <v>95</v>
      </c>
      <c r="W127" s="4">
        <v>10</v>
      </c>
      <c r="X127" s="4">
        <v>10.5</v>
      </c>
      <c r="Y127" s="4">
        <v>78</v>
      </c>
      <c r="Z127" s="4">
        <v>79.7</v>
      </c>
      <c r="AA127" s="4">
        <f t="shared" ref="AA127:AA132" si="75">ABS(W127-X127)</f>
        <v>0.5</v>
      </c>
      <c r="AB127" s="5">
        <f t="shared" ref="AB127:AB132" si="76">ABS(Y127-Z127)</f>
        <v>1.7000000000000028</v>
      </c>
      <c r="AG127" s="3" t="s">
        <v>95</v>
      </c>
      <c r="AH127" s="4">
        <v>10</v>
      </c>
      <c r="AI127" s="4"/>
      <c r="AJ127" s="4">
        <v>78</v>
      </c>
      <c r="AK127" s="4">
        <v>66</v>
      </c>
      <c r="AL127" s="4">
        <f t="shared" ref="AL127:AL132" si="77">ABS(AH127-AI127)</f>
        <v>10</v>
      </c>
      <c r="AM127" s="5">
        <f t="shared" ref="AM127:AM132" si="78">ABS(AJ127-AK127)</f>
        <v>12</v>
      </c>
      <c r="AR127" s="3" t="s">
        <v>95</v>
      </c>
      <c r="AS127" s="4">
        <v>10</v>
      </c>
      <c r="AT127" s="4">
        <v>10</v>
      </c>
      <c r="AU127" s="4">
        <v>78</v>
      </c>
      <c r="AV127" s="4">
        <v>77.900000000000006</v>
      </c>
      <c r="AW127">
        <f t="shared" ref="AW127:AW132" si="79">ABS(AS127-AT127)</f>
        <v>0</v>
      </c>
      <c r="AX127" s="13">
        <f t="shared" ref="AX127:AX132" si="80">ABS(AU127-AV127)</f>
        <v>9.9999999999994316E-2</v>
      </c>
      <c r="BC127" s="3" t="s">
        <v>95</v>
      </c>
      <c r="BD127" s="4">
        <v>10</v>
      </c>
      <c r="BE127" s="4"/>
      <c r="BF127" s="4">
        <v>78</v>
      </c>
      <c r="BG127" s="4"/>
      <c r="BH127">
        <f t="shared" si="67"/>
        <v>10</v>
      </c>
      <c r="BI127" s="13">
        <f t="shared" si="68"/>
        <v>78</v>
      </c>
    </row>
    <row r="128" spans="2:61" x14ac:dyDescent="0.25">
      <c r="B128" s="12"/>
      <c r="C128">
        <v>8</v>
      </c>
      <c r="D128">
        <v>7.7</v>
      </c>
      <c r="E128">
        <v>74</v>
      </c>
      <c r="F128">
        <v>78.8</v>
      </c>
      <c r="G128">
        <f t="shared" si="71"/>
        <v>0.29999999999999982</v>
      </c>
      <c r="H128" s="13">
        <f t="shared" si="72"/>
        <v>4.7999999999999972</v>
      </c>
      <c r="L128" s="12"/>
      <c r="M128">
        <v>8</v>
      </c>
      <c r="N128">
        <v>7.7</v>
      </c>
      <c r="O128">
        <v>74</v>
      </c>
      <c r="P128">
        <v>64</v>
      </c>
      <c r="Q128">
        <f t="shared" si="73"/>
        <v>0.29999999999999982</v>
      </c>
      <c r="R128" s="13">
        <f t="shared" si="74"/>
        <v>10</v>
      </c>
      <c r="V128" s="12"/>
      <c r="W128">
        <v>8</v>
      </c>
      <c r="X128">
        <v>7</v>
      </c>
      <c r="Y128">
        <v>74</v>
      </c>
      <c r="Z128">
        <v>92.9</v>
      </c>
      <c r="AA128">
        <f t="shared" si="75"/>
        <v>1</v>
      </c>
      <c r="AB128" s="13">
        <f t="shared" si="76"/>
        <v>18.900000000000006</v>
      </c>
      <c r="AG128" s="12"/>
      <c r="AH128">
        <v>8</v>
      </c>
      <c r="AJ128">
        <v>74</v>
      </c>
      <c r="AK128">
        <v>110.5</v>
      </c>
      <c r="AL128">
        <f t="shared" si="77"/>
        <v>8</v>
      </c>
      <c r="AM128" s="13">
        <f t="shared" si="78"/>
        <v>36.5</v>
      </c>
      <c r="AR128" s="12"/>
      <c r="AS128">
        <v>8</v>
      </c>
      <c r="AT128">
        <v>8.5</v>
      </c>
      <c r="AU128">
        <v>74</v>
      </c>
      <c r="AV128">
        <v>69.2</v>
      </c>
      <c r="AW128">
        <f t="shared" si="79"/>
        <v>0.5</v>
      </c>
      <c r="AX128" s="13">
        <f t="shared" si="80"/>
        <v>4.7999999999999972</v>
      </c>
      <c r="BC128" s="12"/>
      <c r="BD128">
        <v>8</v>
      </c>
      <c r="BF128">
        <v>74</v>
      </c>
      <c r="BH128">
        <f t="shared" si="67"/>
        <v>8</v>
      </c>
      <c r="BI128" s="13">
        <f t="shared" si="68"/>
        <v>74</v>
      </c>
    </row>
    <row r="129" spans="2:61" x14ac:dyDescent="0.25">
      <c r="B129" s="6"/>
      <c r="C129" s="7">
        <v>7.2</v>
      </c>
      <c r="D129" s="7">
        <v>7.3</v>
      </c>
      <c r="E129" s="7">
        <v>70</v>
      </c>
      <c r="F129" s="7">
        <v>72.5</v>
      </c>
      <c r="G129">
        <f t="shared" si="71"/>
        <v>9.9999999999999645E-2</v>
      </c>
      <c r="H129" s="13">
        <f t="shared" si="72"/>
        <v>2.5</v>
      </c>
      <c r="L129" s="6"/>
      <c r="M129" s="7">
        <v>7.2</v>
      </c>
      <c r="N129" s="7">
        <v>6.6</v>
      </c>
      <c r="O129" s="7">
        <v>70</v>
      </c>
      <c r="P129" s="7">
        <v>51.2</v>
      </c>
      <c r="Q129" s="7">
        <f t="shared" si="73"/>
        <v>0.60000000000000053</v>
      </c>
      <c r="R129" s="8">
        <f t="shared" si="74"/>
        <v>18.799999999999997</v>
      </c>
      <c r="V129" s="6"/>
      <c r="W129" s="7">
        <v>7.2</v>
      </c>
      <c r="X129" s="7">
        <v>7</v>
      </c>
      <c r="Y129" s="7">
        <v>70</v>
      </c>
      <c r="Z129" s="7">
        <v>96.1</v>
      </c>
      <c r="AA129">
        <f t="shared" si="75"/>
        <v>0.20000000000000018</v>
      </c>
      <c r="AB129" s="13">
        <f t="shared" si="76"/>
        <v>26.099999999999994</v>
      </c>
      <c r="AG129" s="6"/>
      <c r="AH129" s="7">
        <v>7.2</v>
      </c>
      <c r="AI129" s="7"/>
      <c r="AJ129" s="7">
        <v>70</v>
      </c>
      <c r="AK129" s="7">
        <v>105.6</v>
      </c>
      <c r="AL129" s="7">
        <f t="shared" si="77"/>
        <v>7.2</v>
      </c>
      <c r="AM129" s="8">
        <f t="shared" si="78"/>
        <v>35.599999999999994</v>
      </c>
      <c r="AR129" s="6"/>
      <c r="AS129" s="7">
        <v>7.2</v>
      </c>
      <c r="AT129" s="7">
        <v>6.4</v>
      </c>
      <c r="AU129" s="7">
        <v>70</v>
      </c>
      <c r="AV129" s="7">
        <v>57.6</v>
      </c>
      <c r="AW129" s="7">
        <f t="shared" si="79"/>
        <v>0.79999999999999982</v>
      </c>
      <c r="AX129" s="8">
        <f t="shared" si="80"/>
        <v>12.399999999999999</v>
      </c>
      <c r="BC129" s="6"/>
      <c r="BD129" s="7">
        <v>7.2</v>
      </c>
      <c r="BE129" s="7"/>
      <c r="BF129" s="7">
        <v>70</v>
      </c>
      <c r="BG129" s="7"/>
      <c r="BH129" s="7">
        <f t="shared" si="67"/>
        <v>7.2</v>
      </c>
      <c r="BI129" s="8">
        <f t="shared" si="68"/>
        <v>70</v>
      </c>
    </row>
    <row r="130" spans="2:61" x14ac:dyDescent="0.25">
      <c r="B130" s="3" t="s">
        <v>96</v>
      </c>
      <c r="C130" s="4">
        <v>8</v>
      </c>
      <c r="D130" s="4">
        <v>8.1</v>
      </c>
      <c r="E130" s="4">
        <v>70</v>
      </c>
      <c r="F130" s="4">
        <v>66.3</v>
      </c>
      <c r="G130" s="4">
        <f t="shared" si="71"/>
        <v>9.9999999999999645E-2</v>
      </c>
      <c r="H130" s="5">
        <f t="shared" si="72"/>
        <v>3.7000000000000028</v>
      </c>
      <c r="L130" s="3" t="s">
        <v>96</v>
      </c>
      <c r="M130" s="4">
        <v>8</v>
      </c>
      <c r="N130" s="4">
        <v>9.1999999999999993</v>
      </c>
      <c r="O130" s="4">
        <v>70</v>
      </c>
      <c r="P130" s="4">
        <v>62.8</v>
      </c>
      <c r="Q130" s="4">
        <f t="shared" si="73"/>
        <v>1.1999999999999993</v>
      </c>
      <c r="R130" s="5">
        <f t="shared" si="74"/>
        <v>7.2000000000000028</v>
      </c>
      <c r="V130" s="3" t="s">
        <v>96</v>
      </c>
      <c r="W130" s="4">
        <v>8</v>
      </c>
      <c r="X130" s="4">
        <v>8.1999999999999993</v>
      </c>
      <c r="Y130" s="4">
        <v>70</v>
      </c>
      <c r="Z130" s="4">
        <v>90.8</v>
      </c>
      <c r="AA130" s="4">
        <f t="shared" si="75"/>
        <v>0.19999999999999929</v>
      </c>
      <c r="AB130" s="5">
        <f t="shared" si="76"/>
        <v>20.799999999999997</v>
      </c>
      <c r="AG130" s="3" t="s">
        <v>96</v>
      </c>
      <c r="AH130" s="4">
        <v>8</v>
      </c>
      <c r="AI130" s="4"/>
      <c r="AJ130" s="4">
        <v>70</v>
      </c>
      <c r="AK130" s="4">
        <v>101</v>
      </c>
      <c r="AL130" s="4">
        <f t="shared" si="77"/>
        <v>8</v>
      </c>
      <c r="AM130" s="5">
        <f t="shared" si="78"/>
        <v>31</v>
      </c>
      <c r="AR130" s="3" t="s">
        <v>96</v>
      </c>
      <c r="AS130" s="4">
        <v>8</v>
      </c>
      <c r="AT130" s="4">
        <v>8.1999999999999993</v>
      </c>
      <c r="AU130" s="4">
        <v>70</v>
      </c>
      <c r="AV130" s="4">
        <v>59.1</v>
      </c>
      <c r="AW130" s="4">
        <f t="shared" si="79"/>
        <v>0.19999999999999929</v>
      </c>
      <c r="AX130" s="5">
        <f t="shared" si="80"/>
        <v>10.899999999999999</v>
      </c>
      <c r="BC130" s="3" t="s">
        <v>96</v>
      </c>
      <c r="BD130" s="4">
        <v>8</v>
      </c>
      <c r="BE130" s="4"/>
      <c r="BF130" s="4">
        <v>70</v>
      </c>
      <c r="BG130" s="4"/>
      <c r="BH130" s="4">
        <f t="shared" si="67"/>
        <v>8</v>
      </c>
      <c r="BI130" s="5">
        <f t="shared" si="68"/>
        <v>70</v>
      </c>
    </row>
    <row r="131" spans="2:61" x14ac:dyDescent="0.25">
      <c r="B131" s="12"/>
      <c r="C131">
        <v>10.4</v>
      </c>
      <c r="D131">
        <v>10.4</v>
      </c>
      <c r="E131">
        <v>85</v>
      </c>
      <c r="F131">
        <v>73.400000000000006</v>
      </c>
      <c r="G131">
        <f t="shared" si="71"/>
        <v>0</v>
      </c>
      <c r="H131" s="13">
        <f t="shared" si="72"/>
        <v>11.599999999999994</v>
      </c>
      <c r="L131" s="12"/>
      <c r="M131">
        <v>10.4</v>
      </c>
      <c r="N131">
        <v>10.199999999999999</v>
      </c>
      <c r="O131">
        <v>85</v>
      </c>
      <c r="P131">
        <v>114.8</v>
      </c>
      <c r="Q131">
        <f t="shared" si="73"/>
        <v>0.20000000000000107</v>
      </c>
      <c r="R131" s="13">
        <f t="shared" si="74"/>
        <v>29.799999999999997</v>
      </c>
      <c r="V131" s="12"/>
      <c r="W131">
        <v>10.4</v>
      </c>
      <c r="X131">
        <v>7</v>
      </c>
      <c r="Y131">
        <v>85</v>
      </c>
      <c r="Z131">
        <v>92.3</v>
      </c>
      <c r="AA131">
        <f t="shared" si="75"/>
        <v>3.4000000000000004</v>
      </c>
      <c r="AB131" s="13">
        <f t="shared" si="76"/>
        <v>7.2999999999999972</v>
      </c>
      <c r="AG131" s="12"/>
      <c r="AH131">
        <v>10.4</v>
      </c>
      <c r="AJ131">
        <v>85</v>
      </c>
      <c r="AK131">
        <v>97.3</v>
      </c>
      <c r="AL131">
        <f t="shared" si="77"/>
        <v>10.4</v>
      </c>
      <c r="AM131" s="13">
        <f t="shared" si="78"/>
        <v>12.299999999999997</v>
      </c>
      <c r="AR131" s="12"/>
      <c r="AS131">
        <v>10.4</v>
      </c>
      <c r="AT131">
        <v>10</v>
      </c>
      <c r="AU131">
        <v>85</v>
      </c>
      <c r="AV131">
        <v>54.5</v>
      </c>
      <c r="AW131">
        <f t="shared" si="79"/>
        <v>0.40000000000000036</v>
      </c>
      <c r="AX131" s="13">
        <f t="shared" si="80"/>
        <v>30.5</v>
      </c>
      <c r="BC131" s="12"/>
      <c r="BD131">
        <v>10.4</v>
      </c>
      <c r="BF131">
        <v>85</v>
      </c>
      <c r="BH131">
        <f t="shared" si="67"/>
        <v>10.4</v>
      </c>
      <c r="BI131" s="13">
        <f t="shared" si="68"/>
        <v>85</v>
      </c>
    </row>
    <row r="132" spans="2:61" x14ac:dyDescent="0.25">
      <c r="B132" s="6"/>
      <c r="C132" s="7">
        <v>8</v>
      </c>
      <c r="D132" s="7">
        <v>8.4</v>
      </c>
      <c r="E132" s="7">
        <v>68</v>
      </c>
      <c r="F132" s="7">
        <v>76.099999999999994</v>
      </c>
      <c r="G132" s="7">
        <f t="shared" si="71"/>
        <v>0.40000000000000036</v>
      </c>
      <c r="H132" s="8">
        <f t="shared" si="72"/>
        <v>8.0999999999999943</v>
      </c>
      <c r="L132" s="6"/>
      <c r="M132" s="7">
        <v>8</v>
      </c>
      <c r="N132" s="7">
        <v>9.4</v>
      </c>
      <c r="O132" s="7">
        <v>68</v>
      </c>
      <c r="P132" s="7">
        <v>59.6</v>
      </c>
      <c r="Q132" s="7">
        <f t="shared" si="73"/>
        <v>1.4000000000000004</v>
      </c>
      <c r="R132" s="8">
        <f t="shared" si="74"/>
        <v>8.3999999999999986</v>
      </c>
      <c r="V132" s="6"/>
      <c r="W132" s="7">
        <v>8</v>
      </c>
      <c r="X132" s="7">
        <v>8.5</v>
      </c>
      <c r="Y132" s="7">
        <v>68</v>
      </c>
      <c r="Z132" s="7">
        <v>94.3</v>
      </c>
      <c r="AA132" s="7">
        <f t="shared" si="75"/>
        <v>0.5</v>
      </c>
      <c r="AB132" s="8">
        <f t="shared" si="76"/>
        <v>26.299999999999997</v>
      </c>
      <c r="AG132" s="6"/>
      <c r="AH132" s="7">
        <v>8</v>
      </c>
      <c r="AI132" s="7"/>
      <c r="AJ132" s="7">
        <v>68</v>
      </c>
      <c r="AK132" s="7">
        <v>83.75</v>
      </c>
      <c r="AL132" s="7">
        <f t="shared" si="77"/>
        <v>8</v>
      </c>
      <c r="AM132" s="8">
        <f t="shared" si="78"/>
        <v>15.75</v>
      </c>
      <c r="AR132" s="6"/>
      <c r="AS132" s="7">
        <v>8</v>
      </c>
      <c r="AT132" s="7">
        <v>8.6</v>
      </c>
      <c r="AU132" s="7">
        <v>68</v>
      </c>
      <c r="AV132" s="7">
        <v>64.900000000000006</v>
      </c>
      <c r="AW132" s="7">
        <f t="shared" si="79"/>
        <v>0.59999999999999964</v>
      </c>
      <c r="AX132" s="8">
        <f t="shared" si="80"/>
        <v>3.0999999999999943</v>
      </c>
      <c r="BC132" s="6"/>
      <c r="BD132" s="7">
        <v>8</v>
      </c>
      <c r="BE132" s="7"/>
      <c r="BF132" s="7">
        <v>68</v>
      </c>
      <c r="BG132" s="7"/>
      <c r="BH132" s="7">
        <f t="shared" si="67"/>
        <v>8</v>
      </c>
      <c r="BI132" s="8">
        <f t="shared" si="68"/>
        <v>68</v>
      </c>
    </row>
    <row r="133" spans="2:61" x14ac:dyDescent="0.25">
      <c r="B133" s="3" t="s">
        <v>36</v>
      </c>
      <c r="C133" s="4">
        <v>11.6</v>
      </c>
      <c r="D133" s="4">
        <v>11.4</v>
      </c>
      <c r="E133" s="4">
        <v>92</v>
      </c>
      <c r="F133" s="4">
        <v>66.3</v>
      </c>
      <c r="G133">
        <f t="shared" ref="G133:G191" si="81">ABS(C133-D133)</f>
        <v>0.19999999999999929</v>
      </c>
      <c r="H133" s="13">
        <f t="shared" ref="H133:H140" si="82">ABS(E133-F133)</f>
        <v>25.700000000000003</v>
      </c>
      <c r="L133" s="3" t="s">
        <v>36</v>
      </c>
      <c r="M133" s="4">
        <v>11.6</v>
      </c>
      <c r="N133" s="4">
        <v>10.7</v>
      </c>
      <c r="O133" s="4">
        <v>92</v>
      </c>
      <c r="P133" s="4">
        <v>49.2</v>
      </c>
      <c r="Q133" s="4">
        <f t="shared" ref="Q133:Q192" si="83">ABS(M133-N133)</f>
        <v>0.90000000000000036</v>
      </c>
      <c r="R133" s="5">
        <f t="shared" ref="R133:R140" si="84">ABS(O133-P133)</f>
        <v>42.8</v>
      </c>
      <c r="V133" s="3" t="s">
        <v>36</v>
      </c>
      <c r="W133" s="4">
        <v>11.6</v>
      </c>
      <c r="X133" s="4">
        <v>11.7</v>
      </c>
      <c r="Y133" s="4">
        <v>92</v>
      </c>
      <c r="Z133" s="4">
        <v>83.2</v>
      </c>
      <c r="AA133">
        <f t="shared" ref="AA133:AA192" si="85">ABS(W133-X133)</f>
        <v>9.9999999999999645E-2</v>
      </c>
      <c r="AB133" s="13">
        <f t="shared" ref="AB133:AB140" si="86">ABS(Y133-Z133)</f>
        <v>8.7999999999999972</v>
      </c>
      <c r="AG133" s="3" t="s">
        <v>36</v>
      </c>
      <c r="AH133" s="4">
        <v>11.6</v>
      </c>
      <c r="AI133" s="4"/>
      <c r="AJ133" s="4">
        <v>92</v>
      </c>
      <c r="AK133" s="4">
        <v>234</v>
      </c>
      <c r="AL133">
        <f t="shared" ref="AL133:AL148" si="87">ABS(AH133-AI133)</f>
        <v>11.6</v>
      </c>
      <c r="AM133" s="13">
        <f t="shared" ref="AM133:AM140" si="88">ABS(AJ133-AK133)</f>
        <v>142</v>
      </c>
      <c r="AR133" s="3" t="s">
        <v>36</v>
      </c>
      <c r="AS133" s="4">
        <v>11.6</v>
      </c>
      <c r="AT133" s="4">
        <v>11.4</v>
      </c>
      <c r="AU133" s="4">
        <v>92</v>
      </c>
      <c r="AV133" s="4">
        <v>89.2</v>
      </c>
      <c r="AW133">
        <f t="shared" ref="AW133:AW180" si="89">ABS(AS133-AT133)</f>
        <v>0.19999999999999929</v>
      </c>
      <c r="AX133" s="13">
        <f t="shared" ref="AX133:AX140" si="90">ABS(AU133-AV133)</f>
        <v>2.7999999999999972</v>
      </c>
      <c r="BC133" s="3" t="s">
        <v>36</v>
      </c>
      <c r="BD133" s="4">
        <v>11.6</v>
      </c>
      <c r="BE133" s="4">
        <v>11.61</v>
      </c>
      <c r="BF133" s="4">
        <v>92</v>
      </c>
      <c r="BG133" s="4">
        <v>69.25</v>
      </c>
      <c r="BH133">
        <f t="shared" si="67"/>
        <v>9.9999999999997868E-3</v>
      </c>
      <c r="BI133" s="13">
        <f t="shared" si="68"/>
        <v>22.75</v>
      </c>
    </row>
    <row r="134" spans="2:61" x14ac:dyDescent="0.25">
      <c r="B134" s="12"/>
      <c r="C134">
        <v>10</v>
      </c>
      <c r="D134">
        <v>8.1999999999999993</v>
      </c>
      <c r="E134">
        <v>71</v>
      </c>
      <c r="F134">
        <v>69.400000000000006</v>
      </c>
      <c r="G134">
        <f t="shared" si="81"/>
        <v>1.8000000000000007</v>
      </c>
      <c r="H134" s="13">
        <f t="shared" si="82"/>
        <v>1.5999999999999943</v>
      </c>
      <c r="L134" s="12"/>
      <c r="M134">
        <v>10</v>
      </c>
      <c r="N134">
        <v>9.4</v>
      </c>
      <c r="O134">
        <v>71</v>
      </c>
      <c r="P134">
        <v>54</v>
      </c>
      <c r="Q134">
        <f t="shared" si="83"/>
        <v>0.59999999999999964</v>
      </c>
      <c r="R134" s="13">
        <f t="shared" si="84"/>
        <v>17</v>
      </c>
      <c r="V134" s="12"/>
      <c r="W134">
        <v>10</v>
      </c>
      <c r="X134">
        <v>8.1999999999999993</v>
      </c>
      <c r="Y134">
        <v>71</v>
      </c>
      <c r="Z134">
        <v>96.7</v>
      </c>
      <c r="AA134">
        <f t="shared" si="85"/>
        <v>1.8000000000000007</v>
      </c>
      <c r="AB134" s="13">
        <f t="shared" si="86"/>
        <v>25.700000000000003</v>
      </c>
      <c r="AG134" s="12"/>
      <c r="AH134">
        <v>10</v>
      </c>
      <c r="AJ134">
        <v>71</v>
      </c>
      <c r="AK134">
        <v>139</v>
      </c>
      <c r="AL134">
        <f t="shared" si="87"/>
        <v>10</v>
      </c>
      <c r="AM134" s="13">
        <f t="shared" si="88"/>
        <v>68</v>
      </c>
      <c r="AR134" s="12"/>
      <c r="AS134">
        <v>10</v>
      </c>
      <c r="AT134">
        <v>8</v>
      </c>
      <c r="AU134">
        <v>71</v>
      </c>
      <c r="AV134">
        <v>55.9</v>
      </c>
      <c r="AW134">
        <f t="shared" si="89"/>
        <v>2</v>
      </c>
      <c r="AX134" s="13">
        <f t="shared" si="90"/>
        <v>15.100000000000001</v>
      </c>
      <c r="BC134" s="12"/>
      <c r="BD134">
        <v>10</v>
      </c>
      <c r="BE134">
        <v>8.01</v>
      </c>
      <c r="BF134">
        <v>71</v>
      </c>
      <c r="BG134">
        <v>62.04</v>
      </c>
      <c r="BH134">
        <f t="shared" si="67"/>
        <v>1.9900000000000002</v>
      </c>
      <c r="BI134" s="13">
        <f t="shared" si="68"/>
        <v>8.9600000000000009</v>
      </c>
    </row>
    <row r="135" spans="2:61" x14ac:dyDescent="0.25">
      <c r="B135" s="12"/>
      <c r="C135">
        <v>11.2</v>
      </c>
      <c r="D135">
        <v>11</v>
      </c>
      <c r="E135">
        <v>105</v>
      </c>
      <c r="F135">
        <v>62</v>
      </c>
      <c r="G135">
        <f t="shared" si="81"/>
        <v>0.19999999999999929</v>
      </c>
      <c r="H135" s="13">
        <f t="shared" si="82"/>
        <v>43</v>
      </c>
      <c r="L135" s="12"/>
      <c r="M135">
        <v>11.2</v>
      </c>
      <c r="N135">
        <v>10.4</v>
      </c>
      <c r="O135">
        <v>105</v>
      </c>
      <c r="P135">
        <v>62.8</v>
      </c>
      <c r="Q135">
        <f t="shared" si="83"/>
        <v>0.79999999999999893</v>
      </c>
      <c r="R135" s="13">
        <f t="shared" si="84"/>
        <v>42.2</v>
      </c>
      <c r="V135" s="12"/>
      <c r="W135">
        <v>11.2</v>
      </c>
      <c r="X135">
        <v>10.5</v>
      </c>
      <c r="Y135">
        <v>105</v>
      </c>
      <c r="Z135">
        <v>85</v>
      </c>
      <c r="AA135">
        <f t="shared" si="85"/>
        <v>0.69999999999999929</v>
      </c>
      <c r="AB135" s="13">
        <f t="shared" si="86"/>
        <v>20</v>
      </c>
      <c r="AG135" s="12"/>
      <c r="AH135">
        <v>11.2</v>
      </c>
      <c r="AJ135">
        <v>105</v>
      </c>
      <c r="AK135">
        <v>69.5</v>
      </c>
      <c r="AL135">
        <f t="shared" si="87"/>
        <v>11.2</v>
      </c>
      <c r="AM135" s="13">
        <f t="shared" si="88"/>
        <v>35.5</v>
      </c>
      <c r="AR135" s="12"/>
      <c r="AS135">
        <v>11.2</v>
      </c>
      <c r="AT135">
        <v>10</v>
      </c>
      <c r="AU135">
        <v>105</v>
      </c>
      <c r="AV135">
        <v>57.3</v>
      </c>
      <c r="AW135">
        <f t="shared" si="89"/>
        <v>1.1999999999999993</v>
      </c>
      <c r="AX135" s="13">
        <f t="shared" si="90"/>
        <v>47.7</v>
      </c>
      <c r="BC135" s="12"/>
      <c r="BD135">
        <v>11.2</v>
      </c>
      <c r="BE135">
        <v>12.01</v>
      </c>
      <c r="BF135">
        <v>105</v>
      </c>
      <c r="BG135">
        <v>65.239999999999995</v>
      </c>
      <c r="BH135">
        <f t="shared" si="67"/>
        <v>0.8100000000000005</v>
      </c>
      <c r="BI135" s="13">
        <f t="shared" si="68"/>
        <v>39.760000000000005</v>
      </c>
    </row>
    <row r="136" spans="2:61" x14ac:dyDescent="0.25">
      <c r="B136" s="6"/>
      <c r="C136" s="7">
        <v>10.4</v>
      </c>
      <c r="D136" s="7">
        <v>10.7</v>
      </c>
      <c r="E136" s="7">
        <v>72</v>
      </c>
      <c r="F136" s="7">
        <v>68.8</v>
      </c>
      <c r="G136" s="7">
        <f t="shared" si="81"/>
        <v>0.29999999999999893</v>
      </c>
      <c r="H136" s="8">
        <f t="shared" si="82"/>
        <v>3.2000000000000028</v>
      </c>
      <c r="L136" s="6"/>
      <c r="M136" s="7">
        <v>10.4</v>
      </c>
      <c r="N136" s="7">
        <v>10.1</v>
      </c>
      <c r="O136" s="7">
        <v>72</v>
      </c>
      <c r="P136" s="7">
        <v>69.599999999999994</v>
      </c>
      <c r="Q136" s="7">
        <f t="shared" si="83"/>
        <v>0.30000000000000071</v>
      </c>
      <c r="R136" s="8">
        <f t="shared" si="84"/>
        <v>2.4000000000000057</v>
      </c>
      <c r="V136" s="6"/>
      <c r="W136" s="7">
        <v>10.4</v>
      </c>
      <c r="X136" s="7">
        <v>10.5</v>
      </c>
      <c r="Y136" s="7">
        <v>72</v>
      </c>
      <c r="Z136" s="7">
        <v>84</v>
      </c>
      <c r="AA136" s="7">
        <f t="shared" si="85"/>
        <v>9.9999999999999645E-2</v>
      </c>
      <c r="AB136" s="8">
        <f t="shared" si="86"/>
        <v>12</v>
      </c>
      <c r="AG136" s="6"/>
      <c r="AH136" s="7">
        <v>10.4</v>
      </c>
      <c r="AI136" s="7"/>
      <c r="AJ136" s="7">
        <v>72</v>
      </c>
      <c r="AK136" s="7">
        <v>82.3</v>
      </c>
      <c r="AL136" s="7">
        <f t="shared" si="87"/>
        <v>10.4</v>
      </c>
      <c r="AM136" s="8">
        <f t="shared" si="88"/>
        <v>10.299999999999997</v>
      </c>
      <c r="AR136" s="6"/>
      <c r="AS136" s="7">
        <v>10.4</v>
      </c>
      <c r="AT136" s="7">
        <v>11</v>
      </c>
      <c r="AU136" s="7">
        <v>72</v>
      </c>
      <c r="AV136" s="7">
        <v>72.900000000000006</v>
      </c>
      <c r="AW136" s="7">
        <f t="shared" si="89"/>
        <v>0.59999999999999964</v>
      </c>
      <c r="AX136" s="8">
        <f t="shared" si="90"/>
        <v>0.90000000000000568</v>
      </c>
      <c r="BC136" s="6"/>
      <c r="BD136" s="7">
        <v>10.4</v>
      </c>
      <c r="BE136" s="7">
        <v>10.81</v>
      </c>
      <c r="BF136" s="7">
        <v>72</v>
      </c>
      <c r="BG136" s="7">
        <v>69.650000000000006</v>
      </c>
      <c r="BH136" s="7">
        <f t="shared" si="67"/>
        <v>0.41000000000000014</v>
      </c>
      <c r="BI136" s="8">
        <f t="shared" si="68"/>
        <v>2.3499999999999943</v>
      </c>
    </row>
    <row r="137" spans="2:61" x14ac:dyDescent="0.25">
      <c r="B137" s="3" t="s">
        <v>37</v>
      </c>
      <c r="C137" s="4">
        <v>12.8</v>
      </c>
      <c r="D137" s="4">
        <v>12.3</v>
      </c>
      <c r="E137" s="4">
        <v>95</v>
      </c>
      <c r="F137" s="4">
        <v>56.6</v>
      </c>
      <c r="G137">
        <f t="shared" si="81"/>
        <v>0.5</v>
      </c>
      <c r="H137" s="13">
        <f t="shared" si="82"/>
        <v>38.4</v>
      </c>
      <c r="L137" s="3" t="s">
        <v>37</v>
      </c>
      <c r="M137" s="4">
        <v>12.8</v>
      </c>
      <c r="N137" s="4">
        <v>12.9</v>
      </c>
      <c r="O137" s="4">
        <v>95</v>
      </c>
      <c r="P137" s="4">
        <v>50</v>
      </c>
      <c r="Q137">
        <f t="shared" si="83"/>
        <v>9.9999999999999645E-2</v>
      </c>
      <c r="R137" s="13">
        <f t="shared" si="84"/>
        <v>45</v>
      </c>
      <c r="V137" s="3" t="s">
        <v>37</v>
      </c>
      <c r="W137" s="4">
        <v>12.8</v>
      </c>
      <c r="X137" s="4">
        <v>12.9</v>
      </c>
      <c r="Y137" s="4">
        <v>95</v>
      </c>
      <c r="Z137" s="4">
        <v>95.5</v>
      </c>
      <c r="AA137">
        <f t="shared" si="85"/>
        <v>9.9999999999999645E-2</v>
      </c>
      <c r="AB137" s="13">
        <f t="shared" si="86"/>
        <v>0.5</v>
      </c>
      <c r="AG137" s="3" t="s">
        <v>37</v>
      </c>
      <c r="AH137" s="4">
        <v>12.8</v>
      </c>
      <c r="AI137" s="4"/>
      <c r="AJ137" s="4">
        <v>95</v>
      </c>
      <c r="AK137" s="4">
        <v>150</v>
      </c>
      <c r="AL137">
        <f t="shared" si="87"/>
        <v>12.8</v>
      </c>
      <c r="AM137" s="13">
        <f t="shared" si="88"/>
        <v>55</v>
      </c>
      <c r="AR137" s="3" t="s">
        <v>37</v>
      </c>
      <c r="AS137" s="4">
        <v>12.8</v>
      </c>
      <c r="AT137" s="4">
        <v>12.4</v>
      </c>
      <c r="AU137" s="4">
        <v>95</v>
      </c>
      <c r="AV137" s="4">
        <v>63.7</v>
      </c>
      <c r="AW137">
        <f t="shared" si="89"/>
        <v>0.40000000000000036</v>
      </c>
      <c r="AX137" s="13">
        <f t="shared" si="90"/>
        <v>31.299999999999997</v>
      </c>
      <c r="BC137" s="3" t="s">
        <v>37</v>
      </c>
      <c r="BD137" s="4">
        <v>12.8</v>
      </c>
      <c r="BE137" s="4">
        <v>12.41</v>
      </c>
      <c r="BF137" s="4">
        <v>95</v>
      </c>
      <c r="BG137" s="4">
        <v>58.84</v>
      </c>
      <c r="BH137">
        <f t="shared" si="67"/>
        <v>0.39000000000000057</v>
      </c>
      <c r="BI137" s="13">
        <f t="shared" si="68"/>
        <v>36.159999999999997</v>
      </c>
    </row>
    <row r="138" spans="2:61" x14ac:dyDescent="0.25">
      <c r="B138" s="12"/>
      <c r="C138">
        <v>10</v>
      </c>
      <c r="D138">
        <v>10</v>
      </c>
      <c r="E138">
        <v>76</v>
      </c>
      <c r="F138">
        <v>63.9</v>
      </c>
      <c r="G138">
        <f t="shared" si="81"/>
        <v>0</v>
      </c>
      <c r="H138" s="13">
        <f t="shared" si="82"/>
        <v>12.100000000000001</v>
      </c>
      <c r="L138" s="12"/>
      <c r="M138">
        <v>10</v>
      </c>
      <c r="N138">
        <v>9.8000000000000007</v>
      </c>
      <c r="O138">
        <v>76</v>
      </c>
      <c r="P138">
        <v>58.4</v>
      </c>
      <c r="Q138">
        <f t="shared" si="83"/>
        <v>0.19999999999999929</v>
      </c>
      <c r="R138" s="13">
        <f t="shared" si="84"/>
        <v>17.600000000000001</v>
      </c>
      <c r="V138" s="12"/>
      <c r="W138">
        <v>10</v>
      </c>
      <c r="X138">
        <v>10.5</v>
      </c>
      <c r="Y138">
        <v>76</v>
      </c>
      <c r="Z138">
        <v>80.599999999999994</v>
      </c>
      <c r="AA138">
        <f t="shared" si="85"/>
        <v>0.5</v>
      </c>
      <c r="AB138" s="13">
        <f t="shared" si="86"/>
        <v>4.5999999999999943</v>
      </c>
      <c r="AG138" s="12"/>
      <c r="AH138">
        <v>10</v>
      </c>
      <c r="AJ138">
        <v>76</v>
      </c>
      <c r="AK138">
        <v>61</v>
      </c>
      <c r="AL138">
        <f t="shared" si="87"/>
        <v>10</v>
      </c>
      <c r="AM138" s="13">
        <f t="shared" si="88"/>
        <v>15</v>
      </c>
      <c r="AR138" s="12"/>
      <c r="AS138">
        <v>10</v>
      </c>
      <c r="AT138">
        <v>10</v>
      </c>
      <c r="AU138">
        <v>76</v>
      </c>
      <c r="AV138">
        <v>63.2</v>
      </c>
      <c r="AW138">
        <f t="shared" si="89"/>
        <v>0</v>
      </c>
      <c r="AX138" s="13">
        <f t="shared" si="90"/>
        <v>12.799999999999997</v>
      </c>
      <c r="BC138" s="12"/>
      <c r="BD138">
        <v>10</v>
      </c>
      <c r="BE138">
        <v>10.01</v>
      </c>
      <c r="BF138">
        <v>76</v>
      </c>
      <c r="BG138">
        <v>58.44</v>
      </c>
      <c r="BH138">
        <f t="shared" si="67"/>
        <v>9.9999999999997868E-3</v>
      </c>
      <c r="BI138" s="13">
        <f t="shared" si="68"/>
        <v>17.560000000000002</v>
      </c>
    </row>
    <row r="139" spans="2:61" x14ac:dyDescent="0.25">
      <c r="B139" s="12"/>
      <c r="C139">
        <v>10</v>
      </c>
      <c r="D139">
        <v>9</v>
      </c>
      <c r="E139">
        <v>72</v>
      </c>
      <c r="F139">
        <v>66</v>
      </c>
      <c r="G139">
        <f t="shared" si="81"/>
        <v>1</v>
      </c>
      <c r="H139" s="13">
        <f t="shared" si="82"/>
        <v>6</v>
      </c>
      <c r="L139" s="12"/>
      <c r="M139">
        <v>10</v>
      </c>
      <c r="N139">
        <v>9.5</v>
      </c>
      <c r="O139">
        <v>72</v>
      </c>
      <c r="P139">
        <v>50.8</v>
      </c>
      <c r="Q139">
        <f t="shared" si="83"/>
        <v>0.5</v>
      </c>
      <c r="R139" s="13">
        <f t="shared" si="84"/>
        <v>21.200000000000003</v>
      </c>
      <c r="V139" s="12"/>
      <c r="W139">
        <v>10</v>
      </c>
      <c r="X139">
        <v>9.4</v>
      </c>
      <c r="Y139">
        <v>72</v>
      </c>
      <c r="Z139">
        <v>79.7</v>
      </c>
      <c r="AA139">
        <f t="shared" si="85"/>
        <v>0.59999999999999964</v>
      </c>
      <c r="AB139" s="13">
        <f t="shared" si="86"/>
        <v>7.7000000000000028</v>
      </c>
      <c r="AG139" s="12"/>
      <c r="AH139">
        <v>10</v>
      </c>
      <c r="AJ139">
        <v>72</v>
      </c>
      <c r="AK139">
        <v>72.7</v>
      </c>
      <c r="AL139">
        <f t="shared" si="87"/>
        <v>10</v>
      </c>
      <c r="AM139" s="13">
        <f t="shared" si="88"/>
        <v>0.70000000000000284</v>
      </c>
      <c r="AR139" s="12"/>
      <c r="AS139">
        <v>10</v>
      </c>
      <c r="AT139">
        <v>9.6</v>
      </c>
      <c r="AU139">
        <v>72</v>
      </c>
      <c r="AV139">
        <v>94.8</v>
      </c>
      <c r="AW139">
        <f t="shared" si="89"/>
        <v>0.40000000000000036</v>
      </c>
      <c r="AX139" s="13">
        <f t="shared" si="90"/>
        <v>22.799999999999997</v>
      </c>
      <c r="BC139" s="12"/>
      <c r="BD139">
        <v>10</v>
      </c>
      <c r="BE139">
        <v>10.01</v>
      </c>
      <c r="BF139">
        <v>72</v>
      </c>
      <c r="BG139">
        <v>69.650000000000006</v>
      </c>
      <c r="BH139">
        <f t="shared" si="67"/>
        <v>9.9999999999997868E-3</v>
      </c>
      <c r="BI139" s="13">
        <f t="shared" si="68"/>
        <v>2.3499999999999943</v>
      </c>
    </row>
    <row r="140" spans="2:61" x14ac:dyDescent="0.25">
      <c r="B140" s="6"/>
      <c r="C140" s="7">
        <v>10</v>
      </c>
      <c r="D140" s="7">
        <v>10.8</v>
      </c>
      <c r="E140" s="7">
        <v>102</v>
      </c>
      <c r="F140" s="7">
        <v>81</v>
      </c>
      <c r="G140" s="7">
        <f t="shared" si="81"/>
        <v>0.80000000000000071</v>
      </c>
      <c r="H140" s="13">
        <f t="shared" si="82"/>
        <v>21</v>
      </c>
      <c r="L140" s="6"/>
      <c r="M140" s="7">
        <v>10</v>
      </c>
      <c r="N140" s="7">
        <v>9.6999999999999993</v>
      </c>
      <c r="O140" s="7">
        <v>102</v>
      </c>
      <c r="P140" s="7">
        <v>102</v>
      </c>
      <c r="Q140" s="7">
        <f t="shared" si="83"/>
        <v>0.30000000000000071</v>
      </c>
      <c r="R140" s="8">
        <f t="shared" si="84"/>
        <v>0</v>
      </c>
      <c r="V140" s="6"/>
      <c r="W140" s="7">
        <v>10</v>
      </c>
      <c r="X140" s="7">
        <v>10</v>
      </c>
      <c r="Y140" s="7">
        <v>102</v>
      </c>
      <c r="Z140" s="7">
        <v>101</v>
      </c>
      <c r="AA140" s="7">
        <f t="shared" si="85"/>
        <v>0</v>
      </c>
      <c r="AB140" s="8">
        <f t="shared" si="86"/>
        <v>1</v>
      </c>
      <c r="AG140" s="6"/>
      <c r="AH140" s="7">
        <v>10</v>
      </c>
      <c r="AI140" s="7"/>
      <c r="AJ140" s="7">
        <v>102</v>
      </c>
      <c r="AK140" s="7">
        <v>136.80000000000001</v>
      </c>
      <c r="AL140" s="7">
        <f t="shared" si="87"/>
        <v>10</v>
      </c>
      <c r="AM140" s="8">
        <f t="shared" si="88"/>
        <v>34.800000000000011</v>
      </c>
      <c r="AR140" s="6"/>
      <c r="AS140" s="7">
        <v>10</v>
      </c>
      <c r="AT140" s="7">
        <v>11.4</v>
      </c>
      <c r="AU140" s="7">
        <v>102</v>
      </c>
      <c r="AV140" s="7">
        <v>98.8</v>
      </c>
      <c r="AW140" s="7">
        <f t="shared" si="89"/>
        <v>1.4000000000000004</v>
      </c>
      <c r="AX140" s="8">
        <f t="shared" si="90"/>
        <v>3.2000000000000028</v>
      </c>
      <c r="BC140" s="6"/>
      <c r="BD140" s="7">
        <v>10</v>
      </c>
      <c r="BE140" s="7">
        <v>9.61</v>
      </c>
      <c r="BF140" s="7">
        <v>102</v>
      </c>
      <c r="BG140" s="7">
        <v>56.84</v>
      </c>
      <c r="BH140" s="7">
        <f t="shared" si="67"/>
        <v>0.39000000000000057</v>
      </c>
      <c r="BI140" s="8">
        <f t="shared" si="68"/>
        <v>45.16</v>
      </c>
    </row>
    <row r="141" spans="2:61" x14ac:dyDescent="0.25">
      <c r="B141" s="3" t="s">
        <v>38</v>
      </c>
      <c r="C141" s="4">
        <v>10.8</v>
      </c>
      <c r="D141" s="4">
        <v>10</v>
      </c>
      <c r="E141" s="4">
        <v>91</v>
      </c>
      <c r="F141" s="4">
        <v>68.8</v>
      </c>
      <c r="G141" s="4">
        <f t="shared" si="81"/>
        <v>0.80000000000000071</v>
      </c>
      <c r="H141" s="5">
        <f>ABS(F141-E141)</f>
        <v>22.200000000000003</v>
      </c>
      <c r="L141" s="3" t="s">
        <v>38</v>
      </c>
      <c r="M141" s="4">
        <v>10.8</v>
      </c>
      <c r="N141" s="4">
        <v>10</v>
      </c>
      <c r="O141" s="4">
        <v>91</v>
      </c>
      <c r="P141" s="4">
        <v>118.8</v>
      </c>
      <c r="Q141" s="4">
        <f t="shared" si="83"/>
        <v>0.80000000000000071</v>
      </c>
      <c r="R141" s="5">
        <f>ABS(P141-O141)</f>
        <v>27.799999999999997</v>
      </c>
      <c r="V141" s="3" t="s">
        <v>38</v>
      </c>
      <c r="W141" s="4">
        <v>10.8</v>
      </c>
      <c r="X141" s="4">
        <v>10</v>
      </c>
      <c r="Y141" s="4">
        <v>91</v>
      </c>
      <c r="Z141" s="4">
        <v>81.2</v>
      </c>
      <c r="AA141" s="4">
        <f t="shared" si="85"/>
        <v>0.80000000000000071</v>
      </c>
      <c r="AB141" s="5">
        <f>ABS(Z141-Y141)</f>
        <v>9.7999999999999972</v>
      </c>
      <c r="AG141" s="3" t="s">
        <v>38</v>
      </c>
      <c r="AH141" s="4">
        <v>10.8</v>
      </c>
      <c r="AI141" s="4"/>
      <c r="AJ141" s="4">
        <v>91</v>
      </c>
      <c r="AK141" s="4">
        <v>114.6</v>
      </c>
      <c r="AL141" s="4">
        <f t="shared" si="87"/>
        <v>10.8</v>
      </c>
      <c r="AM141" s="5">
        <f>ABS(AK141-AJ141)</f>
        <v>23.599999999999994</v>
      </c>
      <c r="AR141" s="3" t="s">
        <v>38</v>
      </c>
      <c r="AS141" s="4">
        <v>10.8</v>
      </c>
      <c r="AT141" s="4">
        <v>10</v>
      </c>
      <c r="AU141" s="4">
        <v>91</v>
      </c>
      <c r="AV141" s="4">
        <v>70.2</v>
      </c>
      <c r="AW141" s="4">
        <f t="shared" si="89"/>
        <v>0.80000000000000071</v>
      </c>
      <c r="AX141" s="5">
        <f>ABS(AV141-AU141)</f>
        <v>20.799999999999997</v>
      </c>
      <c r="BC141" s="3" t="s">
        <v>38</v>
      </c>
      <c r="BD141" s="4">
        <v>10.8</v>
      </c>
      <c r="BE141" s="4">
        <v>10.01</v>
      </c>
      <c r="BF141" s="4">
        <v>91</v>
      </c>
      <c r="BG141" s="4">
        <v>89.66</v>
      </c>
      <c r="BH141" s="4">
        <f t="shared" si="67"/>
        <v>0.79000000000000092</v>
      </c>
      <c r="BI141" s="5">
        <f>ABS(BG141-BF141)</f>
        <v>1.3400000000000034</v>
      </c>
    </row>
    <row r="142" spans="2:61" x14ac:dyDescent="0.25">
      <c r="B142" s="12"/>
      <c r="C142">
        <v>8.8000000000000007</v>
      </c>
      <c r="D142">
        <v>8.1999999999999993</v>
      </c>
      <c r="E142">
        <v>94</v>
      </c>
      <c r="F142">
        <v>69.3</v>
      </c>
      <c r="G142">
        <f t="shared" si="81"/>
        <v>0.60000000000000142</v>
      </c>
      <c r="H142" s="13">
        <f t="shared" ref="H142:H171" si="91">ABS(F142-E142)</f>
        <v>24.700000000000003</v>
      </c>
      <c r="L142" s="12"/>
      <c r="M142">
        <v>8.8000000000000007</v>
      </c>
      <c r="N142">
        <v>9.4</v>
      </c>
      <c r="O142">
        <v>94</v>
      </c>
      <c r="P142">
        <v>76.400000000000006</v>
      </c>
      <c r="Q142">
        <f t="shared" si="83"/>
        <v>0.59999999999999964</v>
      </c>
      <c r="R142" s="13">
        <f t="shared" ref="R142:R192" si="92">ABS(P142-O142)</f>
        <v>17.599999999999994</v>
      </c>
      <c r="V142" s="12"/>
      <c r="W142">
        <v>8.8000000000000007</v>
      </c>
      <c r="X142">
        <v>7.3</v>
      </c>
      <c r="Y142">
        <v>94</v>
      </c>
      <c r="Z142">
        <v>83.5</v>
      </c>
      <c r="AA142">
        <f t="shared" si="85"/>
        <v>1.5000000000000009</v>
      </c>
      <c r="AB142" s="13">
        <f t="shared" ref="AB142:AB192" si="93">ABS(Z142-Y142)</f>
        <v>10.5</v>
      </c>
      <c r="AG142" s="12"/>
      <c r="AH142">
        <v>8.8000000000000007</v>
      </c>
      <c r="AJ142">
        <v>94</v>
      </c>
      <c r="AK142">
        <v>74.5</v>
      </c>
      <c r="AL142">
        <f t="shared" si="87"/>
        <v>8.8000000000000007</v>
      </c>
      <c r="AM142" s="13">
        <f t="shared" ref="AM142:AM148" si="94">ABS(AK142-AJ142)</f>
        <v>19.5</v>
      </c>
      <c r="AR142" s="12"/>
      <c r="AS142">
        <v>8.8000000000000007</v>
      </c>
      <c r="AT142">
        <v>10.4</v>
      </c>
      <c r="AU142">
        <v>94</v>
      </c>
      <c r="AV142">
        <v>63.3</v>
      </c>
      <c r="AW142">
        <f t="shared" si="89"/>
        <v>1.5999999999999996</v>
      </c>
      <c r="AX142" s="13">
        <f t="shared" ref="AX142:AX180" si="95">ABS(AV142-AU142)</f>
        <v>30.700000000000003</v>
      </c>
      <c r="BC142" s="12"/>
      <c r="BD142">
        <v>8.8000000000000007</v>
      </c>
      <c r="BE142">
        <v>10.41</v>
      </c>
      <c r="BF142">
        <v>94</v>
      </c>
      <c r="BG142">
        <v>60.84</v>
      </c>
      <c r="BH142">
        <f t="shared" si="67"/>
        <v>1.6099999999999994</v>
      </c>
      <c r="BI142" s="13">
        <f t="shared" ref="BI142:BI180" si="96">ABS(BG142-BF142)</f>
        <v>33.159999999999997</v>
      </c>
    </row>
    <row r="143" spans="2:61" x14ac:dyDescent="0.25">
      <c r="B143" s="12"/>
      <c r="C143">
        <v>10</v>
      </c>
      <c r="D143">
        <v>9.5</v>
      </c>
      <c r="E143">
        <v>76</v>
      </c>
      <c r="F143">
        <v>78.400000000000006</v>
      </c>
      <c r="G143">
        <f t="shared" si="81"/>
        <v>0.5</v>
      </c>
      <c r="H143" s="13">
        <f t="shared" si="91"/>
        <v>2.4000000000000057</v>
      </c>
      <c r="L143" s="12"/>
      <c r="M143">
        <v>10</v>
      </c>
      <c r="N143">
        <v>9.6</v>
      </c>
      <c r="O143">
        <v>76</v>
      </c>
      <c r="P143">
        <v>85.6</v>
      </c>
      <c r="Q143">
        <f t="shared" si="83"/>
        <v>0.40000000000000036</v>
      </c>
      <c r="R143" s="13">
        <f t="shared" si="92"/>
        <v>9.5999999999999943</v>
      </c>
      <c r="V143" s="12"/>
      <c r="W143">
        <v>10</v>
      </c>
      <c r="X143">
        <v>9</v>
      </c>
      <c r="Y143">
        <v>76</v>
      </c>
      <c r="Z143">
        <v>77.599999999999994</v>
      </c>
      <c r="AA143">
        <f t="shared" si="85"/>
        <v>1</v>
      </c>
      <c r="AB143" s="13">
        <f t="shared" si="93"/>
        <v>1.5999999999999943</v>
      </c>
      <c r="AG143" s="12"/>
      <c r="AH143">
        <v>10</v>
      </c>
      <c r="AJ143">
        <v>76</v>
      </c>
      <c r="AK143">
        <v>172</v>
      </c>
      <c r="AL143">
        <f t="shared" si="87"/>
        <v>10</v>
      </c>
      <c r="AM143" s="13">
        <f t="shared" si="94"/>
        <v>96</v>
      </c>
      <c r="AR143" s="12"/>
      <c r="AS143">
        <v>10</v>
      </c>
      <c r="AT143">
        <v>10.8</v>
      </c>
      <c r="AU143">
        <v>76</v>
      </c>
      <c r="AV143">
        <v>66</v>
      </c>
      <c r="AW143">
        <f t="shared" si="89"/>
        <v>0.80000000000000071</v>
      </c>
      <c r="AX143" s="13">
        <f t="shared" si="95"/>
        <v>10</v>
      </c>
      <c r="BC143" s="12"/>
      <c r="BD143">
        <v>10</v>
      </c>
      <c r="BE143">
        <v>10.81</v>
      </c>
      <c r="BF143">
        <v>76</v>
      </c>
      <c r="BG143">
        <v>73.650000000000006</v>
      </c>
      <c r="BH143">
        <f t="shared" si="67"/>
        <v>0.8100000000000005</v>
      </c>
      <c r="BI143" s="13">
        <f t="shared" si="96"/>
        <v>2.3499999999999943</v>
      </c>
    </row>
    <row r="144" spans="2:61" x14ac:dyDescent="0.25">
      <c r="B144" s="6"/>
      <c r="C144" s="7">
        <v>8.8000000000000007</v>
      </c>
      <c r="D144" s="7">
        <v>9.6999999999999993</v>
      </c>
      <c r="E144" s="7">
        <v>94</v>
      </c>
      <c r="F144" s="7">
        <v>83.2</v>
      </c>
      <c r="G144" s="7">
        <f t="shared" si="81"/>
        <v>0.89999999999999858</v>
      </c>
      <c r="H144" s="13">
        <f t="shared" si="91"/>
        <v>10.799999999999997</v>
      </c>
      <c r="L144" s="6"/>
      <c r="M144" s="7">
        <v>8.8000000000000007</v>
      </c>
      <c r="N144" s="7">
        <v>9.8000000000000007</v>
      </c>
      <c r="O144" s="7">
        <v>94</v>
      </c>
      <c r="P144" s="7">
        <v>113</v>
      </c>
      <c r="Q144" s="7">
        <f t="shared" si="83"/>
        <v>1</v>
      </c>
      <c r="R144" s="13">
        <f t="shared" si="92"/>
        <v>19</v>
      </c>
      <c r="V144" s="6"/>
      <c r="W144" s="7">
        <v>8.8000000000000007</v>
      </c>
      <c r="X144" s="7">
        <v>9</v>
      </c>
      <c r="Y144" s="7">
        <v>94</v>
      </c>
      <c r="Z144" s="7">
        <v>87</v>
      </c>
      <c r="AA144" s="7">
        <f t="shared" si="85"/>
        <v>0.19999999999999929</v>
      </c>
      <c r="AB144" s="13">
        <f t="shared" si="93"/>
        <v>7</v>
      </c>
      <c r="AG144" s="6"/>
      <c r="AH144" s="7">
        <v>8.8000000000000007</v>
      </c>
      <c r="AI144" s="7"/>
      <c r="AJ144" s="7">
        <v>94</v>
      </c>
      <c r="AK144" s="7">
        <v>165</v>
      </c>
      <c r="AL144" s="7">
        <f t="shared" si="87"/>
        <v>8.8000000000000007</v>
      </c>
      <c r="AM144" s="13">
        <f t="shared" si="94"/>
        <v>71</v>
      </c>
      <c r="AR144" s="6"/>
      <c r="AS144" s="7">
        <v>8.8000000000000007</v>
      </c>
      <c r="AT144" s="7">
        <v>9.6</v>
      </c>
      <c r="AU144" s="7">
        <v>94</v>
      </c>
      <c r="AV144" s="7">
        <v>77.3</v>
      </c>
      <c r="AW144" s="7">
        <f t="shared" si="89"/>
        <v>0.79999999999999893</v>
      </c>
      <c r="AX144" s="13">
        <f t="shared" si="95"/>
        <v>16.700000000000003</v>
      </c>
      <c r="BC144" s="6"/>
      <c r="BD144" s="7">
        <v>8.8000000000000007</v>
      </c>
      <c r="BE144" s="7">
        <v>10.01</v>
      </c>
      <c r="BF144" s="7">
        <v>94</v>
      </c>
      <c r="BG144" s="7">
        <v>64.44</v>
      </c>
      <c r="BH144" s="7">
        <f t="shared" si="67"/>
        <v>1.2099999999999991</v>
      </c>
      <c r="BI144" s="13">
        <f t="shared" si="96"/>
        <v>29.560000000000002</v>
      </c>
    </row>
    <row r="145" spans="2:61" x14ac:dyDescent="0.25">
      <c r="B145" s="3" t="s">
        <v>39</v>
      </c>
      <c r="C145" s="4">
        <v>10.8</v>
      </c>
      <c r="D145" s="4">
        <v>10.7</v>
      </c>
      <c r="E145" s="4">
        <v>95</v>
      </c>
      <c r="F145" s="4">
        <v>68.7</v>
      </c>
      <c r="G145" s="4">
        <f t="shared" si="81"/>
        <v>0.10000000000000142</v>
      </c>
      <c r="H145" s="5">
        <f t="shared" si="91"/>
        <v>26.299999999999997</v>
      </c>
      <c r="L145" s="3" t="s">
        <v>39</v>
      </c>
      <c r="M145" s="4">
        <v>10.8</v>
      </c>
      <c r="N145" s="4">
        <v>10.1</v>
      </c>
      <c r="O145" s="4">
        <v>95</v>
      </c>
      <c r="P145" s="4">
        <v>93.6</v>
      </c>
      <c r="Q145" s="4">
        <f t="shared" si="83"/>
        <v>0.70000000000000107</v>
      </c>
      <c r="R145" s="5">
        <f t="shared" si="92"/>
        <v>1.4000000000000057</v>
      </c>
      <c r="V145" s="3" t="s">
        <v>39</v>
      </c>
      <c r="W145" s="4">
        <v>10.8</v>
      </c>
      <c r="X145" s="4">
        <v>10.5</v>
      </c>
      <c r="Y145" s="4">
        <v>95</v>
      </c>
      <c r="Z145" s="4">
        <v>88.5</v>
      </c>
      <c r="AA145" s="4">
        <f t="shared" si="85"/>
        <v>0.30000000000000071</v>
      </c>
      <c r="AB145" s="5">
        <f t="shared" si="93"/>
        <v>6.5</v>
      </c>
      <c r="AG145" s="3" t="s">
        <v>39</v>
      </c>
      <c r="AH145" s="4">
        <v>10.8</v>
      </c>
      <c r="AI145" s="4"/>
      <c r="AJ145" s="4">
        <v>95</v>
      </c>
      <c r="AK145" s="4">
        <v>106.5</v>
      </c>
      <c r="AL145" s="4">
        <f t="shared" si="87"/>
        <v>10.8</v>
      </c>
      <c r="AM145" s="5">
        <f t="shared" si="94"/>
        <v>11.5</v>
      </c>
      <c r="AR145" s="3" t="s">
        <v>39</v>
      </c>
      <c r="AS145" s="4">
        <v>10.8</v>
      </c>
      <c r="AT145" s="4">
        <v>10.6</v>
      </c>
      <c r="AU145" s="4">
        <v>95</v>
      </c>
      <c r="AV145" s="4">
        <v>56.5</v>
      </c>
      <c r="AW145" s="4">
        <f t="shared" si="89"/>
        <v>0.20000000000000107</v>
      </c>
      <c r="AX145" s="5">
        <f t="shared" si="95"/>
        <v>38.5</v>
      </c>
      <c r="BC145" s="3" t="s">
        <v>39</v>
      </c>
      <c r="BD145" s="4">
        <v>10.8</v>
      </c>
      <c r="BE145" s="4">
        <v>10.81</v>
      </c>
      <c r="BF145" s="4">
        <v>95</v>
      </c>
      <c r="BG145" s="4">
        <v>58.84</v>
      </c>
      <c r="BH145" s="4">
        <f t="shared" si="67"/>
        <v>9.9999999999997868E-3</v>
      </c>
      <c r="BI145" s="5">
        <f t="shared" si="96"/>
        <v>36.159999999999997</v>
      </c>
    </row>
    <row r="146" spans="2:61" x14ac:dyDescent="0.25">
      <c r="B146" s="12"/>
      <c r="C146">
        <v>9.1999999999999993</v>
      </c>
      <c r="D146">
        <v>8.9</v>
      </c>
      <c r="E146">
        <v>101</v>
      </c>
      <c r="F146">
        <v>72.599999999999994</v>
      </c>
      <c r="G146">
        <f t="shared" si="81"/>
        <v>0.29999999999999893</v>
      </c>
      <c r="H146" s="13">
        <f t="shared" si="91"/>
        <v>28.400000000000006</v>
      </c>
      <c r="L146" s="12"/>
      <c r="M146">
        <v>9.1999999999999993</v>
      </c>
      <c r="N146">
        <v>9.3000000000000007</v>
      </c>
      <c r="O146">
        <v>101</v>
      </c>
      <c r="P146">
        <v>50.5</v>
      </c>
      <c r="Q146">
        <f t="shared" si="83"/>
        <v>0.10000000000000142</v>
      </c>
      <c r="R146" s="13">
        <f t="shared" si="92"/>
        <v>50.5</v>
      </c>
      <c r="V146" s="12"/>
      <c r="W146">
        <v>9.1999999999999993</v>
      </c>
      <c r="X146">
        <v>8.1999999999999993</v>
      </c>
      <c r="Y146">
        <v>101</v>
      </c>
      <c r="Z146">
        <v>95.8</v>
      </c>
      <c r="AA146">
        <f t="shared" si="85"/>
        <v>1</v>
      </c>
      <c r="AB146" s="13">
        <f t="shared" si="93"/>
        <v>5.2000000000000028</v>
      </c>
      <c r="AG146" s="12"/>
      <c r="AH146">
        <v>9.1999999999999993</v>
      </c>
      <c r="AJ146">
        <v>101</v>
      </c>
      <c r="AK146">
        <v>64.3</v>
      </c>
      <c r="AL146">
        <f t="shared" si="87"/>
        <v>9.1999999999999993</v>
      </c>
      <c r="AM146" s="13">
        <f t="shared" si="94"/>
        <v>36.700000000000003</v>
      </c>
      <c r="AR146" s="12"/>
      <c r="AS146">
        <v>9.1999999999999993</v>
      </c>
      <c r="AT146">
        <v>8.6</v>
      </c>
      <c r="AU146">
        <v>101</v>
      </c>
      <c r="AV146">
        <v>66.599999999999994</v>
      </c>
      <c r="AW146">
        <f t="shared" si="89"/>
        <v>0.59999999999999964</v>
      </c>
      <c r="AX146" s="13">
        <f t="shared" si="95"/>
        <v>34.400000000000006</v>
      </c>
      <c r="BC146" s="12"/>
      <c r="BD146">
        <v>9.1999999999999993</v>
      </c>
      <c r="BE146">
        <v>8.41</v>
      </c>
      <c r="BF146">
        <v>101</v>
      </c>
      <c r="BG146">
        <v>59.64</v>
      </c>
      <c r="BH146">
        <f t="shared" si="67"/>
        <v>0.78999999999999915</v>
      </c>
      <c r="BI146" s="13">
        <f t="shared" si="96"/>
        <v>41.36</v>
      </c>
    </row>
    <row r="147" spans="2:61" x14ac:dyDescent="0.25">
      <c r="B147" s="12"/>
      <c r="C147">
        <v>10</v>
      </c>
      <c r="D147">
        <v>7.1</v>
      </c>
      <c r="E147">
        <v>90</v>
      </c>
      <c r="F147">
        <v>70.8</v>
      </c>
      <c r="G147">
        <f t="shared" si="81"/>
        <v>2.9000000000000004</v>
      </c>
      <c r="H147" s="13">
        <f t="shared" si="91"/>
        <v>19.200000000000003</v>
      </c>
      <c r="L147" s="12"/>
      <c r="M147">
        <v>10</v>
      </c>
      <c r="N147">
        <v>8.8000000000000007</v>
      </c>
      <c r="O147">
        <v>90</v>
      </c>
      <c r="P147">
        <v>58.8</v>
      </c>
      <c r="Q147">
        <f t="shared" si="83"/>
        <v>1.1999999999999993</v>
      </c>
      <c r="R147" s="13">
        <f t="shared" si="92"/>
        <v>31.200000000000003</v>
      </c>
      <c r="V147" s="12"/>
      <c r="W147">
        <v>10</v>
      </c>
      <c r="X147">
        <v>7</v>
      </c>
      <c r="Y147">
        <v>90</v>
      </c>
      <c r="Z147">
        <v>88.5</v>
      </c>
      <c r="AA147">
        <f t="shared" si="85"/>
        <v>3</v>
      </c>
      <c r="AB147" s="13">
        <f t="shared" si="93"/>
        <v>1.5</v>
      </c>
      <c r="AG147" s="12"/>
      <c r="AH147">
        <v>10</v>
      </c>
      <c r="AJ147">
        <v>90</v>
      </c>
      <c r="AK147">
        <v>102</v>
      </c>
      <c r="AL147">
        <f t="shared" si="87"/>
        <v>10</v>
      </c>
      <c r="AM147" s="13">
        <f t="shared" si="94"/>
        <v>12</v>
      </c>
      <c r="AR147" s="12"/>
      <c r="AS147">
        <v>10</v>
      </c>
      <c r="AT147">
        <v>6.4</v>
      </c>
      <c r="AU147">
        <v>90</v>
      </c>
      <c r="AV147">
        <v>70.400000000000006</v>
      </c>
      <c r="AW147">
        <f t="shared" si="89"/>
        <v>3.5999999999999996</v>
      </c>
      <c r="AX147" s="13">
        <f t="shared" si="95"/>
        <v>19.599999999999994</v>
      </c>
      <c r="BC147" s="12"/>
      <c r="BD147">
        <v>10</v>
      </c>
      <c r="BE147">
        <v>7.61</v>
      </c>
      <c r="BF147">
        <v>90</v>
      </c>
      <c r="BG147">
        <v>95.66</v>
      </c>
      <c r="BH147">
        <f t="shared" si="67"/>
        <v>2.3899999999999997</v>
      </c>
      <c r="BI147" s="13">
        <f t="shared" si="96"/>
        <v>5.6599999999999966</v>
      </c>
    </row>
    <row r="148" spans="2:61" x14ac:dyDescent="0.25">
      <c r="B148" s="6"/>
      <c r="C148" s="7">
        <v>10.8</v>
      </c>
      <c r="D148" s="7">
        <v>8</v>
      </c>
      <c r="E148" s="7">
        <v>75</v>
      </c>
      <c r="F148" s="7">
        <v>65</v>
      </c>
      <c r="G148" s="7">
        <f t="shared" si="81"/>
        <v>2.8000000000000007</v>
      </c>
      <c r="H148" s="8">
        <f t="shared" si="91"/>
        <v>10</v>
      </c>
      <c r="L148" s="6"/>
      <c r="M148" s="7">
        <v>10.8</v>
      </c>
      <c r="N148" s="7">
        <v>9.4</v>
      </c>
      <c r="O148" s="7">
        <v>75</v>
      </c>
      <c r="P148" s="7">
        <v>53.2</v>
      </c>
      <c r="Q148" s="7">
        <f t="shared" si="83"/>
        <v>1.4000000000000004</v>
      </c>
      <c r="R148" s="13">
        <f t="shared" si="92"/>
        <v>21.799999999999997</v>
      </c>
      <c r="V148" s="6"/>
      <c r="W148" s="7">
        <v>10.8</v>
      </c>
      <c r="X148" s="7">
        <v>7.3</v>
      </c>
      <c r="Y148" s="7">
        <v>75</v>
      </c>
      <c r="Z148" s="7">
        <v>86.1</v>
      </c>
      <c r="AA148" s="7">
        <f t="shared" si="85"/>
        <v>3.5000000000000009</v>
      </c>
      <c r="AB148" s="13">
        <f t="shared" si="93"/>
        <v>11.099999999999994</v>
      </c>
      <c r="AG148" s="6"/>
      <c r="AH148" s="7">
        <v>10.8</v>
      </c>
      <c r="AI148" s="7"/>
      <c r="AJ148" s="7">
        <v>75</v>
      </c>
      <c r="AK148" s="7">
        <v>181.5</v>
      </c>
      <c r="AL148" s="7">
        <f t="shared" si="87"/>
        <v>10.8</v>
      </c>
      <c r="AM148" s="8">
        <f t="shared" si="94"/>
        <v>106.5</v>
      </c>
      <c r="AR148" s="6"/>
      <c r="AS148" s="7">
        <v>10.8</v>
      </c>
      <c r="AT148" s="7">
        <v>8.6999999999999993</v>
      </c>
      <c r="AU148" s="7">
        <v>75</v>
      </c>
      <c r="AV148" s="7">
        <v>55.6</v>
      </c>
      <c r="AW148" s="7">
        <f t="shared" si="89"/>
        <v>2.1000000000000014</v>
      </c>
      <c r="AX148" s="13">
        <f t="shared" si="95"/>
        <v>19.399999999999999</v>
      </c>
      <c r="BC148" s="6"/>
      <c r="BD148" s="7">
        <v>10.8</v>
      </c>
      <c r="BE148" s="7">
        <v>7.61</v>
      </c>
      <c r="BF148" s="7">
        <v>75</v>
      </c>
      <c r="BG148" s="7">
        <v>57.64</v>
      </c>
      <c r="BH148" s="7">
        <f t="shared" si="67"/>
        <v>3.1900000000000004</v>
      </c>
      <c r="BI148" s="13">
        <f t="shared" si="96"/>
        <v>17.36</v>
      </c>
    </row>
    <row r="149" spans="2:61" x14ac:dyDescent="0.25">
      <c r="B149" s="3" t="s">
        <v>100</v>
      </c>
      <c r="C149" s="4">
        <v>12.6</v>
      </c>
      <c r="D149" s="4">
        <v>12</v>
      </c>
      <c r="E149" s="4">
        <v>86</v>
      </c>
      <c r="F149" s="4">
        <v>80.8</v>
      </c>
      <c r="G149" s="4">
        <f t="shared" si="81"/>
        <v>0.59999999999999964</v>
      </c>
      <c r="H149" s="5">
        <f t="shared" si="91"/>
        <v>5.2000000000000028</v>
      </c>
      <c r="L149" s="3" t="s">
        <v>100</v>
      </c>
      <c r="M149" s="4">
        <v>12.6</v>
      </c>
      <c r="N149" s="4">
        <v>12.8</v>
      </c>
      <c r="O149" s="4">
        <v>86</v>
      </c>
      <c r="P149" s="4">
        <v>87.2</v>
      </c>
      <c r="Q149" s="4">
        <f t="shared" si="83"/>
        <v>0.20000000000000107</v>
      </c>
      <c r="R149" s="5">
        <f t="shared" si="92"/>
        <v>1.2000000000000028</v>
      </c>
      <c r="V149" s="3" t="s">
        <v>100</v>
      </c>
      <c r="W149" s="4">
        <v>12.6</v>
      </c>
      <c r="X149" s="4">
        <v>11.7</v>
      </c>
      <c r="Y149" s="4">
        <v>86</v>
      </c>
      <c r="Z149" s="4">
        <v>87.9</v>
      </c>
      <c r="AA149" s="4">
        <f t="shared" si="85"/>
        <v>0.90000000000000036</v>
      </c>
      <c r="AB149" s="5">
        <f t="shared" si="93"/>
        <v>1.9000000000000057</v>
      </c>
      <c r="AG149" s="3" t="s">
        <v>100</v>
      </c>
      <c r="AH149" s="4">
        <v>12.6</v>
      </c>
      <c r="AI149" s="4"/>
      <c r="AJ149" s="4">
        <v>86</v>
      </c>
      <c r="AK149" s="4"/>
      <c r="AL149" s="4"/>
      <c r="AM149" s="5"/>
      <c r="AR149" s="3" t="s">
        <v>100</v>
      </c>
      <c r="AS149" s="4">
        <v>12.6</v>
      </c>
      <c r="AT149" s="4">
        <v>12</v>
      </c>
      <c r="AU149" s="4">
        <v>86</v>
      </c>
      <c r="AV149" s="4">
        <v>79</v>
      </c>
      <c r="AW149" s="4">
        <f t="shared" si="89"/>
        <v>0.59999999999999964</v>
      </c>
      <c r="AX149" s="5">
        <f t="shared" si="95"/>
        <v>7</v>
      </c>
      <c r="BC149" s="3" t="s">
        <v>100</v>
      </c>
      <c r="BD149" s="4">
        <v>12.6</v>
      </c>
      <c r="BE149" s="4">
        <v>12.01</v>
      </c>
      <c r="BF149" s="4">
        <v>86</v>
      </c>
      <c r="BG149" s="4">
        <v>87.26</v>
      </c>
      <c r="BH149" s="4">
        <f t="shared" si="67"/>
        <v>0.58999999999999986</v>
      </c>
      <c r="BI149" s="5">
        <f t="shared" si="96"/>
        <v>1.2600000000000051</v>
      </c>
    </row>
    <row r="150" spans="2:61" x14ac:dyDescent="0.25">
      <c r="B150" s="12"/>
      <c r="C150">
        <v>10.4</v>
      </c>
      <c r="D150">
        <v>10.8</v>
      </c>
      <c r="E150">
        <v>94</v>
      </c>
      <c r="F150">
        <v>67.5</v>
      </c>
      <c r="G150">
        <f t="shared" si="81"/>
        <v>0.40000000000000036</v>
      </c>
      <c r="H150" s="13">
        <f t="shared" si="91"/>
        <v>26.5</v>
      </c>
      <c r="L150" s="12"/>
      <c r="M150">
        <v>10.4</v>
      </c>
      <c r="N150">
        <v>10.1</v>
      </c>
      <c r="O150">
        <v>94</v>
      </c>
      <c r="P150">
        <v>93.2</v>
      </c>
      <c r="Q150">
        <f t="shared" si="83"/>
        <v>0.30000000000000071</v>
      </c>
      <c r="R150" s="13">
        <f t="shared" si="92"/>
        <v>0.79999999999999716</v>
      </c>
      <c r="V150" s="12"/>
      <c r="W150">
        <v>10.4</v>
      </c>
      <c r="X150">
        <v>10.5</v>
      </c>
      <c r="Y150">
        <v>94</v>
      </c>
      <c r="Z150">
        <v>91.4</v>
      </c>
      <c r="AA150">
        <f t="shared" si="85"/>
        <v>9.9999999999999645E-2</v>
      </c>
      <c r="AB150" s="13">
        <f t="shared" si="93"/>
        <v>2.5999999999999943</v>
      </c>
      <c r="AG150" s="12"/>
      <c r="AH150">
        <v>10.4</v>
      </c>
      <c r="AJ150">
        <v>94</v>
      </c>
      <c r="AM150" s="13"/>
      <c r="AR150" s="12"/>
      <c r="AS150">
        <v>10.4</v>
      </c>
      <c r="AT150">
        <v>10.6</v>
      </c>
      <c r="AU150">
        <v>94</v>
      </c>
      <c r="AV150">
        <v>80.900000000000006</v>
      </c>
      <c r="AW150">
        <f t="shared" si="89"/>
        <v>0.19999999999999929</v>
      </c>
      <c r="AX150" s="13">
        <f t="shared" si="95"/>
        <v>13.099999999999994</v>
      </c>
      <c r="BC150" s="12"/>
      <c r="BD150">
        <v>10.4</v>
      </c>
      <c r="BE150">
        <v>10.41</v>
      </c>
      <c r="BF150">
        <v>94</v>
      </c>
      <c r="BG150">
        <v>60.44</v>
      </c>
      <c r="BH150">
        <f t="shared" si="67"/>
        <v>9.9999999999997868E-3</v>
      </c>
      <c r="BI150" s="13">
        <f t="shared" si="96"/>
        <v>33.56</v>
      </c>
    </row>
    <row r="151" spans="2:61" x14ac:dyDescent="0.25">
      <c r="B151" s="12"/>
      <c r="C151">
        <v>9.6</v>
      </c>
      <c r="D151">
        <v>10.199999999999999</v>
      </c>
      <c r="E151">
        <v>62</v>
      </c>
      <c r="F151">
        <v>63.3</v>
      </c>
      <c r="G151">
        <f t="shared" si="81"/>
        <v>0.59999999999999964</v>
      </c>
      <c r="H151" s="13">
        <f t="shared" si="91"/>
        <v>1.2999999999999972</v>
      </c>
      <c r="L151" s="12"/>
      <c r="M151">
        <v>9.6</v>
      </c>
      <c r="N151">
        <v>9.8000000000000007</v>
      </c>
      <c r="O151">
        <v>62</v>
      </c>
      <c r="P151">
        <v>48</v>
      </c>
      <c r="Q151">
        <f t="shared" si="83"/>
        <v>0.20000000000000107</v>
      </c>
      <c r="R151" s="13">
        <f t="shared" si="92"/>
        <v>14</v>
      </c>
      <c r="V151" s="12"/>
      <c r="W151">
        <v>9.6</v>
      </c>
      <c r="X151">
        <v>9.6999999999999993</v>
      </c>
      <c r="Y151">
        <v>62</v>
      </c>
      <c r="Z151">
        <v>83.8</v>
      </c>
      <c r="AA151">
        <f t="shared" si="85"/>
        <v>9.9999999999999645E-2</v>
      </c>
      <c r="AB151" s="13">
        <f t="shared" si="93"/>
        <v>21.799999999999997</v>
      </c>
      <c r="AG151" s="12"/>
      <c r="AH151">
        <v>9.6</v>
      </c>
      <c r="AJ151">
        <v>62</v>
      </c>
      <c r="AM151" s="13"/>
      <c r="AR151" s="12"/>
      <c r="AS151">
        <v>9.6</v>
      </c>
      <c r="AT151">
        <v>9.5</v>
      </c>
      <c r="AU151">
        <v>62</v>
      </c>
      <c r="AV151">
        <v>65</v>
      </c>
      <c r="AW151">
        <f t="shared" si="89"/>
        <v>9.9999999999999645E-2</v>
      </c>
      <c r="AX151" s="13">
        <f t="shared" si="95"/>
        <v>3</v>
      </c>
      <c r="BC151" s="12"/>
      <c r="BD151">
        <v>9.6</v>
      </c>
      <c r="BE151">
        <v>9.2100000000000009</v>
      </c>
      <c r="BF151">
        <v>62</v>
      </c>
      <c r="BG151">
        <v>68.45</v>
      </c>
      <c r="BH151">
        <f t="shared" si="67"/>
        <v>0.38999999999999879</v>
      </c>
      <c r="BI151" s="13">
        <f t="shared" si="96"/>
        <v>6.4500000000000028</v>
      </c>
    </row>
    <row r="152" spans="2:61" x14ac:dyDescent="0.25">
      <c r="B152" s="12"/>
      <c r="C152">
        <v>22.4</v>
      </c>
      <c r="D152">
        <v>10.4</v>
      </c>
      <c r="E152">
        <v>60</v>
      </c>
      <c r="F152">
        <v>76.8</v>
      </c>
      <c r="G152">
        <f t="shared" si="81"/>
        <v>11.999999999999998</v>
      </c>
      <c r="H152" s="13">
        <f t="shared" si="91"/>
        <v>16.799999999999997</v>
      </c>
      <c r="L152" s="12"/>
      <c r="M152">
        <v>22.4</v>
      </c>
      <c r="N152">
        <v>23.4</v>
      </c>
      <c r="O152">
        <v>60</v>
      </c>
      <c r="P152">
        <v>49.6</v>
      </c>
      <c r="Q152">
        <f t="shared" si="83"/>
        <v>1</v>
      </c>
      <c r="R152" s="13">
        <f t="shared" si="92"/>
        <v>10.399999999999999</v>
      </c>
      <c r="V152" s="12"/>
      <c r="W152">
        <v>22.4</v>
      </c>
      <c r="X152">
        <v>8.5</v>
      </c>
      <c r="Y152">
        <v>60</v>
      </c>
      <c r="Z152">
        <v>92</v>
      </c>
      <c r="AA152">
        <f t="shared" si="85"/>
        <v>13.899999999999999</v>
      </c>
      <c r="AB152" s="13">
        <f t="shared" si="93"/>
        <v>32</v>
      </c>
      <c r="AG152" s="12"/>
      <c r="AH152">
        <v>22.4</v>
      </c>
      <c r="AJ152">
        <v>60</v>
      </c>
      <c r="AM152" s="13"/>
      <c r="AR152" s="12"/>
      <c r="AS152">
        <v>22.4</v>
      </c>
      <c r="AT152">
        <v>14</v>
      </c>
      <c r="AU152">
        <v>60</v>
      </c>
      <c r="AV152">
        <v>99.1</v>
      </c>
      <c r="AW152">
        <f t="shared" si="89"/>
        <v>8.3999999999999986</v>
      </c>
      <c r="AX152" s="13">
        <f t="shared" si="95"/>
        <v>39.099999999999994</v>
      </c>
      <c r="BC152" s="12"/>
      <c r="BD152">
        <v>22.4</v>
      </c>
      <c r="BE152">
        <v>24.42</v>
      </c>
      <c r="BF152">
        <v>60</v>
      </c>
      <c r="BG152">
        <v>68.849999999999994</v>
      </c>
      <c r="BH152">
        <f t="shared" si="67"/>
        <v>2.0200000000000031</v>
      </c>
      <c r="BI152" s="13">
        <f t="shared" si="96"/>
        <v>8.8499999999999943</v>
      </c>
    </row>
    <row r="153" spans="2:61" x14ac:dyDescent="0.25">
      <c r="B153" s="3" t="s">
        <v>101</v>
      </c>
      <c r="C153" s="4">
        <v>11.2</v>
      </c>
      <c r="D153" s="4">
        <v>12</v>
      </c>
      <c r="E153" s="4">
        <v>85</v>
      </c>
      <c r="F153" s="4">
        <v>70</v>
      </c>
      <c r="G153" s="4">
        <f t="shared" si="81"/>
        <v>0.80000000000000071</v>
      </c>
      <c r="H153" s="5">
        <f t="shared" si="91"/>
        <v>15</v>
      </c>
      <c r="L153" s="3" t="s">
        <v>101</v>
      </c>
      <c r="M153" s="4">
        <v>11.2</v>
      </c>
      <c r="N153" s="4">
        <v>11</v>
      </c>
      <c r="O153" s="4">
        <v>85</v>
      </c>
      <c r="P153" s="4">
        <v>66.8</v>
      </c>
      <c r="Q153" s="4">
        <f t="shared" si="83"/>
        <v>0.19999999999999929</v>
      </c>
      <c r="R153" s="5">
        <f t="shared" si="92"/>
        <v>18.200000000000003</v>
      </c>
      <c r="V153" s="3" t="s">
        <v>101</v>
      </c>
      <c r="W153" s="4">
        <v>11.2</v>
      </c>
      <c r="X153" s="4">
        <v>11.7</v>
      </c>
      <c r="Y153" s="4">
        <v>85</v>
      </c>
      <c r="Z153" s="4">
        <v>83.2</v>
      </c>
      <c r="AA153" s="4">
        <f t="shared" si="85"/>
        <v>0.5</v>
      </c>
      <c r="AB153" s="5">
        <f t="shared" si="93"/>
        <v>1.7999999999999972</v>
      </c>
      <c r="AG153" s="3" t="s">
        <v>101</v>
      </c>
      <c r="AH153" s="4">
        <v>11.2</v>
      </c>
      <c r="AI153" s="4"/>
      <c r="AJ153" s="4">
        <v>85</v>
      </c>
      <c r="AK153" s="4"/>
      <c r="AL153" s="4"/>
      <c r="AM153" s="5"/>
      <c r="AR153" s="3" t="s">
        <v>101</v>
      </c>
      <c r="AS153" s="4">
        <v>11.2</v>
      </c>
      <c r="AT153" s="4">
        <v>11.8</v>
      </c>
      <c r="AU153" s="4">
        <v>85</v>
      </c>
      <c r="AV153" s="4">
        <v>74.400000000000006</v>
      </c>
      <c r="AW153" s="4">
        <f t="shared" si="89"/>
        <v>0.60000000000000142</v>
      </c>
      <c r="AX153" s="5">
        <f t="shared" si="95"/>
        <v>10.599999999999994</v>
      </c>
      <c r="BC153" s="3" t="s">
        <v>101</v>
      </c>
      <c r="BD153" s="4">
        <v>11.2</v>
      </c>
      <c r="BE153" s="4">
        <v>11.61</v>
      </c>
      <c r="BF153" s="4">
        <v>85</v>
      </c>
      <c r="BG153" s="4">
        <v>82.86</v>
      </c>
      <c r="BH153" s="4">
        <f t="shared" si="67"/>
        <v>0.41000000000000014</v>
      </c>
      <c r="BI153" s="5">
        <f t="shared" si="96"/>
        <v>2.1400000000000006</v>
      </c>
    </row>
    <row r="154" spans="2:61" x14ac:dyDescent="0.25">
      <c r="B154" s="12"/>
      <c r="C154">
        <v>11.6</v>
      </c>
      <c r="D154">
        <v>11.5</v>
      </c>
      <c r="E154">
        <v>97</v>
      </c>
      <c r="F154">
        <v>81.3</v>
      </c>
      <c r="G154">
        <f t="shared" si="81"/>
        <v>9.9999999999999645E-2</v>
      </c>
      <c r="H154" s="13">
        <f t="shared" si="91"/>
        <v>15.700000000000003</v>
      </c>
      <c r="L154" s="12"/>
      <c r="M154">
        <v>11.6</v>
      </c>
      <c r="N154">
        <v>10.6</v>
      </c>
      <c r="O154">
        <v>97</v>
      </c>
      <c r="P154">
        <v>84.8</v>
      </c>
      <c r="Q154">
        <f t="shared" si="83"/>
        <v>1</v>
      </c>
      <c r="R154" s="13">
        <f t="shared" si="92"/>
        <v>12.200000000000003</v>
      </c>
      <c r="V154" s="12"/>
      <c r="W154">
        <v>11.6</v>
      </c>
      <c r="X154">
        <v>11.7</v>
      </c>
      <c r="Y154">
        <v>97</v>
      </c>
      <c r="Z154">
        <v>88.5</v>
      </c>
      <c r="AA154">
        <f t="shared" si="85"/>
        <v>9.9999999999999645E-2</v>
      </c>
      <c r="AB154" s="13">
        <f t="shared" si="93"/>
        <v>8.5</v>
      </c>
      <c r="AG154" s="12"/>
      <c r="AH154">
        <v>11.6</v>
      </c>
      <c r="AJ154">
        <v>97</v>
      </c>
      <c r="AM154" s="13"/>
      <c r="AR154" s="12"/>
      <c r="AS154">
        <v>11.6</v>
      </c>
      <c r="AT154">
        <v>11.8</v>
      </c>
      <c r="AU154">
        <v>97</v>
      </c>
      <c r="AV154">
        <v>68.2</v>
      </c>
      <c r="AW154">
        <f t="shared" si="89"/>
        <v>0.20000000000000107</v>
      </c>
      <c r="AX154" s="13">
        <f t="shared" si="95"/>
        <v>28.799999999999997</v>
      </c>
      <c r="BC154" s="12"/>
      <c r="BD154">
        <v>11.6</v>
      </c>
      <c r="BE154">
        <v>11.61</v>
      </c>
      <c r="BF154">
        <v>97</v>
      </c>
      <c r="BG154">
        <v>84.86</v>
      </c>
      <c r="BH154">
        <f t="shared" si="67"/>
        <v>9.9999999999997868E-3</v>
      </c>
      <c r="BI154" s="13">
        <f t="shared" si="96"/>
        <v>12.14</v>
      </c>
    </row>
    <row r="155" spans="2:61" x14ac:dyDescent="0.25">
      <c r="B155" s="12"/>
      <c r="C155">
        <v>8</v>
      </c>
      <c r="D155">
        <v>10</v>
      </c>
      <c r="E155">
        <v>76</v>
      </c>
      <c r="F155">
        <v>79.599999999999994</v>
      </c>
      <c r="G155">
        <f t="shared" si="81"/>
        <v>2</v>
      </c>
      <c r="H155" s="13">
        <f t="shared" si="91"/>
        <v>3.5999999999999943</v>
      </c>
      <c r="L155" s="12"/>
      <c r="M155">
        <v>8</v>
      </c>
      <c r="N155">
        <v>9.6</v>
      </c>
      <c r="O155">
        <v>76</v>
      </c>
      <c r="P155">
        <v>96.4</v>
      </c>
      <c r="Q155">
        <f t="shared" si="83"/>
        <v>1.5999999999999996</v>
      </c>
      <c r="R155" s="13">
        <f t="shared" si="92"/>
        <v>20.400000000000006</v>
      </c>
      <c r="V155" s="12"/>
      <c r="W155">
        <v>8</v>
      </c>
      <c r="X155">
        <v>9</v>
      </c>
      <c r="Y155">
        <v>76</v>
      </c>
      <c r="Z155">
        <v>90.2</v>
      </c>
      <c r="AA155">
        <f t="shared" si="85"/>
        <v>1</v>
      </c>
      <c r="AB155" s="13">
        <f t="shared" si="93"/>
        <v>14.200000000000003</v>
      </c>
      <c r="AG155" s="12"/>
      <c r="AH155">
        <v>8</v>
      </c>
      <c r="AJ155">
        <v>76</v>
      </c>
      <c r="AM155" s="13"/>
      <c r="AR155" s="12"/>
      <c r="AS155">
        <v>8</v>
      </c>
      <c r="AT155">
        <v>8.9</v>
      </c>
      <c r="AU155">
        <v>76</v>
      </c>
      <c r="AV155">
        <v>64</v>
      </c>
      <c r="AW155">
        <f t="shared" si="89"/>
        <v>0.90000000000000036</v>
      </c>
      <c r="AX155" s="13">
        <f t="shared" si="95"/>
        <v>12</v>
      </c>
      <c r="BC155" s="12"/>
      <c r="BD155">
        <v>8</v>
      </c>
      <c r="BE155">
        <v>10.41</v>
      </c>
      <c r="BF155">
        <v>76</v>
      </c>
      <c r="BG155">
        <v>58.44</v>
      </c>
      <c r="BH155">
        <f t="shared" ref="BH155:BH180" si="97">ABS(BD155-BE155)</f>
        <v>2.41</v>
      </c>
      <c r="BI155" s="13">
        <f t="shared" si="96"/>
        <v>17.560000000000002</v>
      </c>
    </row>
    <row r="156" spans="2:61" x14ac:dyDescent="0.25">
      <c r="B156" s="6"/>
      <c r="C156" s="7">
        <v>17.2</v>
      </c>
      <c r="D156" s="7">
        <v>17</v>
      </c>
      <c r="E156" s="7">
        <v>62</v>
      </c>
      <c r="F156" s="7">
        <v>79.2</v>
      </c>
      <c r="G156" s="7">
        <f t="shared" si="81"/>
        <v>0.19999999999999929</v>
      </c>
      <c r="H156" s="8">
        <f t="shared" si="91"/>
        <v>17.200000000000003</v>
      </c>
      <c r="L156" s="6"/>
      <c r="M156" s="7">
        <v>17.2</v>
      </c>
      <c r="N156" s="7">
        <v>17.5</v>
      </c>
      <c r="O156" s="7">
        <v>62</v>
      </c>
      <c r="P156" s="7">
        <v>98</v>
      </c>
      <c r="Q156" s="7">
        <f t="shared" si="83"/>
        <v>0.30000000000000071</v>
      </c>
      <c r="R156" s="8">
        <f t="shared" si="92"/>
        <v>36</v>
      </c>
      <c r="V156" s="6"/>
      <c r="W156" s="7">
        <v>17.2</v>
      </c>
      <c r="X156" s="7">
        <v>15.5</v>
      </c>
      <c r="Y156" s="7">
        <v>62</v>
      </c>
      <c r="Z156" s="7">
        <v>95.8</v>
      </c>
      <c r="AA156" s="7">
        <f t="shared" si="85"/>
        <v>1.6999999999999993</v>
      </c>
      <c r="AB156" s="8">
        <f t="shared" si="93"/>
        <v>33.799999999999997</v>
      </c>
      <c r="AG156" s="6"/>
      <c r="AH156" s="7">
        <v>17.2</v>
      </c>
      <c r="AI156" s="7"/>
      <c r="AJ156" s="7">
        <v>62</v>
      </c>
      <c r="AK156" s="7"/>
      <c r="AL156" s="7"/>
      <c r="AM156" s="8"/>
      <c r="AR156" s="6"/>
      <c r="AS156" s="7">
        <v>17.2</v>
      </c>
      <c r="AT156" s="7">
        <v>17.7</v>
      </c>
      <c r="AU156" s="7">
        <v>62</v>
      </c>
      <c r="AV156" s="7">
        <v>96.3</v>
      </c>
      <c r="AW156" s="7">
        <f t="shared" si="89"/>
        <v>0.5</v>
      </c>
      <c r="AX156" s="8">
        <f t="shared" si="95"/>
        <v>34.299999999999997</v>
      </c>
      <c r="BC156" s="6"/>
      <c r="BD156" s="7">
        <v>17.2</v>
      </c>
      <c r="BE156" s="7">
        <v>16.809999999999999</v>
      </c>
      <c r="BF156" s="7">
        <v>62</v>
      </c>
      <c r="BG156" s="7">
        <v>61.64</v>
      </c>
      <c r="BH156" s="7">
        <f t="shared" si="97"/>
        <v>0.39000000000000057</v>
      </c>
      <c r="BI156" s="8">
        <f t="shared" si="96"/>
        <v>0.35999999999999943</v>
      </c>
    </row>
    <row r="157" spans="2:61" x14ac:dyDescent="0.25">
      <c r="B157" s="3" t="s">
        <v>102</v>
      </c>
      <c r="C157" s="4">
        <v>11.6</v>
      </c>
      <c r="D157" s="4">
        <v>11.1</v>
      </c>
      <c r="E157" s="4">
        <v>92</v>
      </c>
      <c r="F157" s="4">
        <v>74.3</v>
      </c>
      <c r="G157" s="4">
        <f t="shared" si="81"/>
        <v>0.5</v>
      </c>
      <c r="H157" s="5">
        <f t="shared" si="91"/>
        <v>17.700000000000003</v>
      </c>
      <c r="L157" s="3" t="s">
        <v>102</v>
      </c>
      <c r="M157" s="4">
        <v>11.6</v>
      </c>
      <c r="N157" s="4">
        <v>10.4</v>
      </c>
      <c r="O157" s="4">
        <v>92</v>
      </c>
      <c r="P157" s="4">
        <v>96.8</v>
      </c>
      <c r="Q157" s="4">
        <f t="shared" si="83"/>
        <v>1.1999999999999993</v>
      </c>
      <c r="R157" s="5">
        <f t="shared" si="92"/>
        <v>4.7999999999999972</v>
      </c>
      <c r="V157" s="3" t="s">
        <v>102</v>
      </c>
      <c r="W157" s="4">
        <v>11.6</v>
      </c>
      <c r="X157" s="4">
        <v>10.8</v>
      </c>
      <c r="Y157" s="4">
        <v>92</v>
      </c>
      <c r="Z157" s="4">
        <v>84.7</v>
      </c>
      <c r="AA157" s="4">
        <f t="shared" si="85"/>
        <v>0.79999999999999893</v>
      </c>
      <c r="AB157" s="5">
        <f t="shared" si="93"/>
        <v>7.2999999999999972</v>
      </c>
      <c r="AG157" s="3" t="s">
        <v>102</v>
      </c>
      <c r="AH157" s="4">
        <v>11.6</v>
      </c>
      <c r="AI157" s="4"/>
      <c r="AJ157" s="4">
        <v>92</v>
      </c>
      <c r="AK157" s="4"/>
      <c r="AL157" s="4"/>
      <c r="AM157" s="5"/>
      <c r="AR157" s="3" t="s">
        <v>102</v>
      </c>
      <c r="AS157" s="4">
        <v>11.6</v>
      </c>
      <c r="AT157" s="4">
        <v>11.2</v>
      </c>
      <c r="AU157" s="4">
        <v>92</v>
      </c>
      <c r="AV157" s="4">
        <v>57.2</v>
      </c>
      <c r="AW157" s="4">
        <f t="shared" si="89"/>
        <v>0.40000000000000036</v>
      </c>
      <c r="AX157" s="5">
        <f t="shared" si="95"/>
        <v>34.799999999999997</v>
      </c>
      <c r="BC157" s="3" t="s">
        <v>102</v>
      </c>
      <c r="BD157" s="4">
        <v>11.6</v>
      </c>
      <c r="BE157" s="4">
        <v>11.21</v>
      </c>
      <c r="BF157" s="4">
        <v>92</v>
      </c>
      <c r="BG157" s="4">
        <v>66.44</v>
      </c>
      <c r="BH157" s="4">
        <f t="shared" si="97"/>
        <v>0.38999999999999879</v>
      </c>
      <c r="BI157" s="5">
        <f t="shared" si="96"/>
        <v>25.560000000000002</v>
      </c>
    </row>
    <row r="158" spans="2:61" x14ac:dyDescent="0.25">
      <c r="B158" s="12"/>
      <c r="C158">
        <v>11.6</v>
      </c>
      <c r="D158">
        <v>11.1</v>
      </c>
      <c r="E158">
        <v>94</v>
      </c>
      <c r="F158">
        <v>58.8</v>
      </c>
      <c r="G158">
        <f t="shared" si="81"/>
        <v>0.5</v>
      </c>
      <c r="H158" s="13">
        <f t="shared" si="91"/>
        <v>35.200000000000003</v>
      </c>
      <c r="L158" s="12"/>
      <c r="M158">
        <v>11.6</v>
      </c>
      <c r="N158">
        <v>11</v>
      </c>
      <c r="O158">
        <v>94</v>
      </c>
      <c r="P158">
        <v>59.2</v>
      </c>
      <c r="Q158">
        <f t="shared" si="83"/>
        <v>0.59999999999999964</v>
      </c>
      <c r="R158" s="13">
        <f t="shared" si="92"/>
        <v>34.799999999999997</v>
      </c>
      <c r="V158" s="12"/>
      <c r="W158">
        <v>11.6</v>
      </c>
      <c r="X158">
        <v>11.4</v>
      </c>
      <c r="Y158">
        <v>94</v>
      </c>
      <c r="Z158">
        <v>85.8</v>
      </c>
      <c r="AA158">
        <f t="shared" si="85"/>
        <v>0.19999999999999929</v>
      </c>
      <c r="AB158" s="13">
        <f t="shared" si="93"/>
        <v>8.2000000000000028</v>
      </c>
      <c r="AG158" s="12"/>
      <c r="AH158">
        <v>11.6</v>
      </c>
      <c r="AJ158">
        <v>94</v>
      </c>
      <c r="AM158" s="13"/>
      <c r="AR158" s="12"/>
      <c r="AS158">
        <v>11.6</v>
      </c>
      <c r="AT158">
        <v>11.8</v>
      </c>
      <c r="AU158">
        <v>94</v>
      </c>
      <c r="AV158">
        <v>67.900000000000006</v>
      </c>
      <c r="AW158">
        <f t="shared" si="89"/>
        <v>0.20000000000000107</v>
      </c>
      <c r="AX158" s="13">
        <f t="shared" si="95"/>
        <v>26.099999999999994</v>
      </c>
      <c r="BC158" s="12"/>
      <c r="BD158">
        <v>11.6</v>
      </c>
      <c r="BE158">
        <v>12.01</v>
      </c>
      <c r="BF158">
        <v>94</v>
      </c>
      <c r="BG158">
        <v>59.24</v>
      </c>
      <c r="BH158">
        <f t="shared" si="97"/>
        <v>0.41000000000000014</v>
      </c>
      <c r="BI158" s="13">
        <f t="shared" si="96"/>
        <v>34.76</v>
      </c>
    </row>
    <row r="159" spans="2:61" x14ac:dyDescent="0.25">
      <c r="B159" s="12"/>
      <c r="C159">
        <v>8</v>
      </c>
      <c r="D159">
        <v>8.8000000000000007</v>
      </c>
      <c r="E159">
        <v>77</v>
      </c>
      <c r="F159">
        <v>66.8</v>
      </c>
      <c r="G159">
        <f t="shared" si="81"/>
        <v>0.80000000000000071</v>
      </c>
      <c r="H159" s="13">
        <f t="shared" si="91"/>
        <v>10.200000000000003</v>
      </c>
      <c r="L159" s="12"/>
      <c r="M159">
        <v>8</v>
      </c>
      <c r="N159">
        <v>14.4</v>
      </c>
      <c r="O159">
        <v>77</v>
      </c>
      <c r="P159">
        <v>114.8</v>
      </c>
      <c r="Q159">
        <f t="shared" si="83"/>
        <v>6.4</v>
      </c>
      <c r="R159" s="13">
        <f t="shared" si="92"/>
        <v>37.799999999999997</v>
      </c>
      <c r="V159" s="12"/>
      <c r="W159">
        <v>8</v>
      </c>
      <c r="X159">
        <v>7</v>
      </c>
      <c r="Y159">
        <v>77</v>
      </c>
      <c r="Z159">
        <v>88.2</v>
      </c>
      <c r="AA159">
        <f t="shared" si="85"/>
        <v>1</v>
      </c>
      <c r="AB159" s="13">
        <f t="shared" si="93"/>
        <v>11.200000000000003</v>
      </c>
      <c r="AG159" s="12"/>
      <c r="AH159">
        <v>8</v>
      </c>
      <c r="AJ159">
        <v>77</v>
      </c>
      <c r="AM159" s="13"/>
      <c r="AR159" s="12"/>
      <c r="AS159">
        <v>8</v>
      </c>
      <c r="AT159">
        <v>13.1</v>
      </c>
      <c r="AU159">
        <v>77</v>
      </c>
      <c r="AV159">
        <v>86.2</v>
      </c>
      <c r="AW159">
        <f t="shared" si="89"/>
        <v>5.0999999999999996</v>
      </c>
      <c r="AX159" s="13">
        <f t="shared" si="95"/>
        <v>9.2000000000000028</v>
      </c>
      <c r="BC159" s="12"/>
      <c r="BD159">
        <v>8</v>
      </c>
      <c r="BE159">
        <v>12.81</v>
      </c>
      <c r="BF159">
        <v>77</v>
      </c>
      <c r="BG159">
        <v>66.44</v>
      </c>
      <c r="BH159">
        <f t="shared" si="97"/>
        <v>4.8100000000000005</v>
      </c>
      <c r="BI159" s="13">
        <f t="shared" si="96"/>
        <v>10.560000000000002</v>
      </c>
    </row>
    <row r="160" spans="2:61" x14ac:dyDescent="0.25">
      <c r="B160" s="6"/>
      <c r="C160" s="7">
        <v>16.399999999999999</v>
      </c>
      <c r="D160" s="7">
        <v>14.9</v>
      </c>
      <c r="E160" s="7">
        <v>70</v>
      </c>
      <c r="F160" s="7">
        <v>74.3</v>
      </c>
      <c r="G160">
        <f t="shared" si="81"/>
        <v>1.4999999999999982</v>
      </c>
      <c r="H160" s="13">
        <f t="shared" si="91"/>
        <v>4.2999999999999972</v>
      </c>
      <c r="L160" s="6"/>
      <c r="M160" s="7">
        <v>16.399999999999999</v>
      </c>
      <c r="N160" s="7">
        <v>17.5</v>
      </c>
      <c r="O160" s="7">
        <v>70</v>
      </c>
      <c r="P160" s="7">
        <v>70</v>
      </c>
      <c r="Q160" s="7">
        <f t="shared" si="83"/>
        <v>1.1000000000000014</v>
      </c>
      <c r="R160" s="8">
        <f t="shared" si="92"/>
        <v>0</v>
      </c>
      <c r="V160" s="6"/>
      <c r="W160" s="7">
        <v>16.399999999999999</v>
      </c>
      <c r="X160" s="7">
        <v>16.100000000000001</v>
      </c>
      <c r="Y160" s="7">
        <v>70</v>
      </c>
      <c r="Z160" s="7">
        <v>81.7</v>
      </c>
      <c r="AA160">
        <f t="shared" si="85"/>
        <v>0.29999999999999716</v>
      </c>
      <c r="AB160" s="13">
        <f t="shared" si="93"/>
        <v>11.700000000000003</v>
      </c>
      <c r="AG160" s="6"/>
      <c r="AH160" s="7">
        <v>16.399999999999999</v>
      </c>
      <c r="AI160" s="7"/>
      <c r="AJ160" s="7">
        <v>70</v>
      </c>
      <c r="AK160" s="7"/>
      <c r="AL160" s="7"/>
      <c r="AM160" s="8"/>
      <c r="AR160" s="6"/>
      <c r="AS160" s="7">
        <v>16.399999999999999</v>
      </c>
      <c r="AT160" s="7">
        <v>17.600000000000001</v>
      </c>
      <c r="AU160" s="7">
        <v>70</v>
      </c>
      <c r="AV160" s="7">
        <v>96.3</v>
      </c>
      <c r="AW160">
        <f t="shared" si="89"/>
        <v>1.2000000000000028</v>
      </c>
      <c r="AX160" s="13">
        <f t="shared" si="95"/>
        <v>26.299999999999997</v>
      </c>
      <c r="BC160" s="6"/>
      <c r="BD160" s="7">
        <v>16.399999999999999</v>
      </c>
      <c r="BE160" s="7">
        <v>17.61</v>
      </c>
      <c r="BF160" s="7">
        <v>70</v>
      </c>
      <c r="BG160" s="7">
        <v>70.05</v>
      </c>
      <c r="BH160">
        <f t="shared" si="97"/>
        <v>1.2100000000000009</v>
      </c>
      <c r="BI160" s="13">
        <f t="shared" si="96"/>
        <v>4.9999999999997158E-2</v>
      </c>
    </row>
    <row r="161" spans="2:61" x14ac:dyDescent="0.25">
      <c r="B161" s="3" t="s">
        <v>103</v>
      </c>
      <c r="C161" s="4">
        <v>12</v>
      </c>
      <c r="D161" s="4">
        <v>11.1</v>
      </c>
      <c r="E161" s="4">
        <v>88</v>
      </c>
      <c r="F161" s="4">
        <v>70.3</v>
      </c>
      <c r="G161" s="4">
        <f t="shared" si="81"/>
        <v>0.90000000000000036</v>
      </c>
      <c r="H161" s="5">
        <f t="shared" si="91"/>
        <v>17.700000000000003</v>
      </c>
      <c r="L161" s="3" t="s">
        <v>103</v>
      </c>
      <c r="M161" s="4">
        <v>12</v>
      </c>
      <c r="N161" s="4">
        <v>10.6</v>
      </c>
      <c r="O161" s="4">
        <v>88</v>
      </c>
      <c r="P161" s="4">
        <v>62.8</v>
      </c>
      <c r="Q161" s="4">
        <f t="shared" si="83"/>
        <v>1.4000000000000004</v>
      </c>
      <c r="R161" s="5">
        <f t="shared" si="92"/>
        <v>25.200000000000003</v>
      </c>
      <c r="V161" s="3" t="s">
        <v>103</v>
      </c>
      <c r="W161" s="4">
        <v>12</v>
      </c>
      <c r="X161" s="4">
        <v>11.7</v>
      </c>
      <c r="Y161" s="4">
        <v>88</v>
      </c>
      <c r="Z161" s="4">
        <v>91.1</v>
      </c>
      <c r="AA161" s="4">
        <f t="shared" si="85"/>
        <v>0.30000000000000071</v>
      </c>
      <c r="AB161" s="5">
        <f t="shared" si="93"/>
        <v>3.0999999999999943</v>
      </c>
      <c r="AG161" s="3" t="s">
        <v>103</v>
      </c>
      <c r="AH161" s="4">
        <v>12</v>
      </c>
      <c r="AI161" s="4"/>
      <c r="AJ161" s="4">
        <v>88</v>
      </c>
      <c r="AK161" s="4"/>
      <c r="AL161" s="4"/>
      <c r="AM161" s="5"/>
      <c r="AR161" s="3" t="s">
        <v>103</v>
      </c>
      <c r="AS161" s="4">
        <v>12</v>
      </c>
      <c r="AT161" s="4">
        <v>11.8</v>
      </c>
      <c r="AU161" s="4">
        <v>88</v>
      </c>
      <c r="AV161" s="4">
        <v>88.4</v>
      </c>
      <c r="AW161" s="4">
        <f t="shared" si="89"/>
        <v>0.19999999999999929</v>
      </c>
      <c r="AX161" s="5">
        <f t="shared" si="95"/>
        <v>0.40000000000000568</v>
      </c>
      <c r="BC161" s="3" t="s">
        <v>103</v>
      </c>
      <c r="BD161" s="4">
        <v>12</v>
      </c>
      <c r="BE161" s="4">
        <v>11.61</v>
      </c>
      <c r="BF161" s="4">
        <v>88</v>
      </c>
      <c r="BG161" s="4">
        <v>62.84</v>
      </c>
      <c r="BH161" s="4">
        <f t="shared" si="97"/>
        <v>0.39000000000000057</v>
      </c>
      <c r="BI161" s="5">
        <f t="shared" si="96"/>
        <v>25.159999999999997</v>
      </c>
    </row>
    <row r="162" spans="2:61" x14ac:dyDescent="0.25">
      <c r="B162" s="12"/>
      <c r="C162">
        <v>11.6</v>
      </c>
      <c r="D162">
        <v>11.1</v>
      </c>
      <c r="E162">
        <v>95</v>
      </c>
      <c r="F162">
        <v>73.900000000000006</v>
      </c>
      <c r="G162">
        <f t="shared" si="81"/>
        <v>0.5</v>
      </c>
      <c r="H162" s="13">
        <f t="shared" si="91"/>
        <v>21.099999999999994</v>
      </c>
      <c r="L162" s="12"/>
      <c r="M162">
        <v>11.6</v>
      </c>
      <c r="N162">
        <v>10.4</v>
      </c>
      <c r="O162">
        <v>95</v>
      </c>
      <c r="P162">
        <v>61.2</v>
      </c>
      <c r="Q162">
        <f t="shared" si="83"/>
        <v>1.1999999999999993</v>
      </c>
      <c r="R162" s="13">
        <f t="shared" si="92"/>
        <v>33.799999999999997</v>
      </c>
      <c r="V162" s="12"/>
      <c r="W162">
        <v>11.6</v>
      </c>
      <c r="X162">
        <v>10.8</v>
      </c>
      <c r="Y162">
        <v>95</v>
      </c>
      <c r="Z162">
        <v>93.8</v>
      </c>
      <c r="AA162">
        <f t="shared" si="85"/>
        <v>0.79999999999999893</v>
      </c>
      <c r="AB162" s="13">
        <f t="shared" si="93"/>
        <v>1.2000000000000028</v>
      </c>
      <c r="AG162" s="12"/>
      <c r="AH162">
        <v>11.6</v>
      </c>
      <c r="AJ162">
        <v>95</v>
      </c>
      <c r="AM162" s="13"/>
      <c r="AR162" s="12"/>
      <c r="AS162">
        <v>11.6</v>
      </c>
      <c r="AT162">
        <v>10.9</v>
      </c>
      <c r="AU162">
        <v>95</v>
      </c>
      <c r="AV162">
        <v>61.2</v>
      </c>
      <c r="AW162">
        <f t="shared" si="89"/>
        <v>0.69999999999999929</v>
      </c>
      <c r="AX162" s="13">
        <f t="shared" si="95"/>
        <v>33.799999999999997</v>
      </c>
      <c r="BC162" s="12"/>
      <c r="BD162">
        <v>11.6</v>
      </c>
      <c r="BE162">
        <v>11.21</v>
      </c>
      <c r="BF162">
        <v>95</v>
      </c>
      <c r="BG162">
        <v>61.24</v>
      </c>
      <c r="BH162">
        <f t="shared" si="97"/>
        <v>0.38999999999999879</v>
      </c>
      <c r="BI162" s="13">
        <f t="shared" si="96"/>
        <v>33.76</v>
      </c>
    </row>
    <row r="163" spans="2:61" x14ac:dyDescent="0.25">
      <c r="B163" s="12"/>
      <c r="C163">
        <v>6.4</v>
      </c>
      <c r="D163">
        <v>7.1</v>
      </c>
      <c r="E163">
        <v>84</v>
      </c>
      <c r="F163">
        <v>74.2</v>
      </c>
      <c r="G163">
        <f t="shared" si="81"/>
        <v>0.69999999999999929</v>
      </c>
      <c r="H163" s="13">
        <f t="shared" si="91"/>
        <v>9.7999999999999972</v>
      </c>
      <c r="L163" s="12"/>
      <c r="M163">
        <v>6.4</v>
      </c>
      <c r="N163">
        <v>8.6999999999999993</v>
      </c>
      <c r="O163">
        <v>84</v>
      </c>
      <c r="P163">
        <v>95.6</v>
      </c>
      <c r="Q163">
        <f t="shared" si="83"/>
        <v>2.2999999999999989</v>
      </c>
      <c r="R163" s="13">
        <f t="shared" si="92"/>
        <v>11.599999999999994</v>
      </c>
      <c r="V163" s="12"/>
      <c r="W163">
        <v>6.4</v>
      </c>
      <c r="X163">
        <v>7</v>
      </c>
      <c r="Y163">
        <v>84</v>
      </c>
      <c r="Z163">
        <v>86.7</v>
      </c>
      <c r="AA163">
        <f t="shared" si="85"/>
        <v>0.59999999999999964</v>
      </c>
      <c r="AB163" s="13">
        <f t="shared" si="93"/>
        <v>2.7000000000000028</v>
      </c>
      <c r="AG163" s="12"/>
      <c r="AH163">
        <v>6.4</v>
      </c>
      <c r="AJ163">
        <v>84</v>
      </c>
      <c r="AM163" s="13"/>
      <c r="AR163" s="12"/>
      <c r="AS163">
        <v>6.4</v>
      </c>
      <c r="AT163">
        <v>7.7</v>
      </c>
      <c r="AU163">
        <v>84</v>
      </c>
      <c r="AV163">
        <v>82.1</v>
      </c>
      <c r="AW163">
        <f t="shared" si="89"/>
        <v>1.2999999999999998</v>
      </c>
      <c r="AX163" s="13">
        <f t="shared" si="95"/>
        <v>1.9000000000000057</v>
      </c>
      <c r="BC163" s="12"/>
      <c r="BD163">
        <v>6.4</v>
      </c>
      <c r="BE163">
        <v>6.8</v>
      </c>
      <c r="BF163">
        <v>84</v>
      </c>
      <c r="BG163">
        <v>67.239999999999995</v>
      </c>
      <c r="BH163">
        <f t="shared" si="97"/>
        <v>0.39999999999999947</v>
      </c>
      <c r="BI163" s="13">
        <f t="shared" si="96"/>
        <v>16.760000000000005</v>
      </c>
    </row>
    <row r="164" spans="2:61" x14ac:dyDescent="0.25">
      <c r="B164" s="6"/>
      <c r="C164" s="7">
        <v>13.6</v>
      </c>
      <c r="D164" s="7">
        <v>11.3</v>
      </c>
      <c r="E164" s="7">
        <v>67</v>
      </c>
      <c r="F164" s="7">
        <v>73.599999999999994</v>
      </c>
      <c r="G164" s="7">
        <f t="shared" si="81"/>
        <v>2.2999999999999989</v>
      </c>
      <c r="H164" s="8">
        <f t="shared" si="91"/>
        <v>6.5999999999999943</v>
      </c>
      <c r="L164" s="6"/>
      <c r="M164" s="7">
        <v>13.6</v>
      </c>
      <c r="N164" s="7">
        <v>13.5</v>
      </c>
      <c r="O164" s="7">
        <v>67</v>
      </c>
      <c r="P164" s="7">
        <v>60.8</v>
      </c>
      <c r="Q164">
        <f t="shared" si="83"/>
        <v>9.9999999999999645E-2</v>
      </c>
      <c r="R164" s="13">
        <f t="shared" si="92"/>
        <v>6.2000000000000028</v>
      </c>
      <c r="V164" s="6"/>
      <c r="W164" s="7">
        <v>13.6</v>
      </c>
      <c r="X164" s="7">
        <v>11.4</v>
      </c>
      <c r="Y164" s="7">
        <v>67</v>
      </c>
      <c r="Z164" s="7">
        <v>87</v>
      </c>
      <c r="AA164" s="7">
        <f t="shared" si="85"/>
        <v>2.1999999999999993</v>
      </c>
      <c r="AB164" s="8">
        <f t="shared" si="93"/>
        <v>20</v>
      </c>
      <c r="AG164" s="6"/>
      <c r="AH164" s="7">
        <v>13.6</v>
      </c>
      <c r="AI164" s="7"/>
      <c r="AJ164" s="7">
        <v>67</v>
      </c>
      <c r="AK164" s="7"/>
      <c r="AL164" s="7"/>
      <c r="AM164" s="8"/>
      <c r="AR164" s="6"/>
      <c r="AS164" s="7">
        <v>13.6</v>
      </c>
      <c r="AT164" s="7">
        <v>13</v>
      </c>
      <c r="AU164" s="7">
        <v>67</v>
      </c>
      <c r="AV164" s="7">
        <v>86.3</v>
      </c>
      <c r="AW164" s="7">
        <f t="shared" si="89"/>
        <v>0.59999999999999964</v>
      </c>
      <c r="AX164" s="8">
        <f t="shared" si="95"/>
        <v>19.299999999999997</v>
      </c>
      <c r="BC164" s="6"/>
      <c r="BD164" s="7">
        <v>13.6</v>
      </c>
      <c r="BE164" s="7">
        <v>13.21</v>
      </c>
      <c r="BF164" s="7">
        <v>67</v>
      </c>
      <c r="BG164" s="7">
        <v>60.84</v>
      </c>
      <c r="BH164" s="7">
        <f t="shared" si="97"/>
        <v>0.38999999999999879</v>
      </c>
      <c r="BI164" s="8">
        <f t="shared" si="96"/>
        <v>6.1599999999999966</v>
      </c>
    </row>
    <row r="165" spans="2:61" x14ac:dyDescent="0.25">
      <c r="B165" s="3" t="s">
        <v>104</v>
      </c>
      <c r="C165" s="4">
        <v>14.4</v>
      </c>
      <c r="D165" s="4">
        <v>13.2</v>
      </c>
      <c r="E165" s="4">
        <v>95</v>
      </c>
      <c r="F165" s="4">
        <v>79.2</v>
      </c>
      <c r="G165" s="4">
        <f t="shared" si="81"/>
        <v>1.2000000000000011</v>
      </c>
      <c r="H165" s="5">
        <f t="shared" si="91"/>
        <v>15.799999999999997</v>
      </c>
      <c r="L165" s="3" t="s">
        <v>104</v>
      </c>
      <c r="M165" s="4">
        <v>14.4</v>
      </c>
      <c r="N165" s="4">
        <v>13.3</v>
      </c>
      <c r="O165" s="4">
        <v>95</v>
      </c>
      <c r="P165" s="4">
        <v>60.8</v>
      </c>
      <c r="Q165" s="4">
        <f t="shared" si="83"/>
        <v>1.0999999999999996</v>
      </c>
      <c r="R165" s="5">
        <f t="shared" si="92"/>
        <v>34.200000000000003</v>
      </c>
      <c r="V165" s="3" t="s">
        <v>104</v>
      </c>
      <c r="W165" s="4">
        <v>14.4</v>
      </c>
      <c r="X165" s="4">
        <v>12.9</v>
      </c>
      <c r="Y165" s="4">
        <v>95</v>
      </c>
      <c r="Z165" s="4">
        <v>91.7</v>
      </c>
      <c r="AA165" s="4">
        <f t="shared" si="85"/>
        <v>1.5</v>
      </c>
      <c r="AB165" s="5">
        <f t="shared" si="93"/>
        <v>3.2999999999999972</v>
      </c>
      <c r="AG165" s="3" t="s">
        <v>104</v>
      </c>
      <c r="AH165" s="4">
        <v>14.4</v>
      </c>
      <c r="AI165" s="4"/>
      <c r="AJ165" s="4">
        <v>95</v>
      </c>
      <c r="AK165" s="4"/>
      <c r="AL165" s="4"/>
      <c r="AM165" s="5"/>
      <c r="AR165" s="3" t="s">
        <v>104</v>
      </c>
      <c r="AS165" s="4">
        <v>14.4</v>
      </c>
      <c r="AT165" s="4">
        <v>13.3</v>
      </c>
      <c r="AU165" s="4">
        <v>95</v>
      </c>
      <c r="AV165" s="4">
        <v>84.1</v>
      </c>
      <c r="AW165" s="4">
        <f t="shared" si="89"/>
        <v>1.0999999999999996</v>
      </c>
      <c r="AX165" s="5">
        <f t="shared" si="95"/>
        <v>10.900000000000006</v>
      </c>
      <c r="BC165" s="3" t="s">
        <v>104</v>
      </c>
      <c r="BD165" s="4">
        <v>14.4</v>
      </c>
      <c r="BE165" s="4">
        <v>13.21</v>
      </c>
      <c r="BF165" s="4">
        <v>95</v>
      </c>
      <c r="BG165" s="4">
        <v>60.84</v>
      </c>
      <c r="BH165" s="4">
        <f t="shared" si="97"/>
        <v>1.1899999999999995</v>
      </c>
      <c r="BI165" s="5">
        <f t="shared" si="96"/>
        <v>34.159999999999997</v>
      </c>
    </row>
    <row r="166" spans="2:61" x14ac:dyDescent="0.25">
      <c r="B166" s="12"/>
      <c r="C166">
        <v>15.2</v>
      </c>
      <c r="D166">
        <v>14.4</v>
      </c>
      <c r="E166">
        <v>94</v>
      </c>
      <c r="F166">
        <v>78.5</v>
      </c>
      <c r="G166">
        <f t="shared" si="81"/>
        <v>0.79999999999999893</v>
      </c>
      <c r="H166" s="13">
        <f t="shared" si="91"/>
        <v>15.5</v>
      </c>
      <c r="L166" s="12"/>
      <c r="M166">
        <v>15.2</v>
      </c>
      <c r="N166">
        <v>14.6</v>
      </c>
      <c r="O166">
        <v>94</v>
      </c>
      <c r="P166">
        <v>94</v>
      </c>
      <c r="Q166">
        <f t="shared" si="83"/>
        <v>0.59999999999999964</v>
      </c>
      <c r="R166" s="13">
        <f t="shared" si="92"/>
        <v>0</v>
      </c>
      <c r="V166" s="12"/>
      <c r="W166">
        <v>15.2</v>
      </c>
      <c r="X166">
        <v>13.5</v>
      </c>
      <c r="Y166">
        <v>94</v>
      </c>
      <c r="Z166">
        <v>88.2</v>
      </c>
      <c r="AA166">
        <f t="shared" si="85"/>
        <v>1.6999999999999993</v>
      </c>
      <c r="AB166" s="13">
        <f t="shared" si="93"/>
        <v>5.7999999999999972</v>
      </c>
      <c r="AG166" s="12"/>
      <c r="AH166">
        <v>15.2</v>
      </c>
      <c r="AJ166">
        <v>94</v>
      </c>
      <c r="AM166" s="13"/>
      <c r="AR166" s="12"/>
      <c r="AS166">
        <v>15.2</v>
      </c>
      <c r="AT166">
        <v>15.2</v>
      </c>
      <c r="AU166">
        <v>94</v>
      </c>
      <c r="AV166">
        <v>83.2</v>
      </c>
      <c r="AW166">
        <f t="shared" si="89"/>
        <v>0</v>
      </c>
      <c r="AX166" s="13">
        <f t="shared" si="95"/>
        <v>10.799999999999997</v>
      </c>
      <c r="BC166" s="12"/>
      <c r="BD166">
        <v>15.2</v>
      </c>
      <c r="BE166">
        <v>15.21</v>
      </c>
      <c r="BF166">
        <v>94</v>
      </c>
      <c r="BG166">
        <v>63.24</v>
      </c>
      <c r="BH166">
        <f t="shared" si="97"/>
        <v>1.0000000000001563E-2</v>
      </c>
      <c r="BI166" s="13">
        <f t="shared" si="96"/>
        <v>30.759999999999998</v>
      </c>
    </row>
    <row r="167" spans="2:61" x14ac:dyDescent="0.25">
      <c r="B167" s="12"/>
      <c r="C167">
        <v>6.2</v>
      </c>
      <c r="D167">
        <v>8.8000000000000007</v>
      </c>
      <c r="E167">
        <v>71</v>
      </c>
      <c r="F167">
        <v>70.7</v>
      </c>
      <c r="G167">
        <f t="shared" si="81"/>
        <v>2.6000000000000005</v>
      </c>
      <c r="H167" s="13">
        <f t="shared" si="91"/>
        <v>0.29999999999999716</v>
      </c>
      <c r="L167" s="12"/>
      <c r="M167">
        <v>6.2</v>
      </c>
      <c r="N167">
        <v>9.8000000000000007</v>
      </c>
      <c r="O167">
        <v>71</v>
      </c>
      <c r="P167">
        <v>67.599999999999994</v>
      </c>
      <c r="Q167">
        <f t="shared" si="83"/>
        <v>3.6000000000000005</v>
      </c>
      <c r="R167" s="13">
        <f t="shared" si="92"/>
        <v>3.4000000000000057</v>
      </c>
      <c r="V167" s="12"/>
      <c r="W167">
        <v>6.2</v>
      </c>
      <c r="X167">
        <v>8.1999999999999993</v>
      </c>
      <c r="Y167">
        <v>71</v>
      </c>
      <c r="Z167">
        <v>90.2</v>
      </c>
      <c r="AA167">
        <f t="shared" si="85"/>
        <v>1.9999999999999991</v>
      </c>
      <c r="AB167" s="13">
        <f t="shared" si="93"/>
        <v>19.200000000000003</v>
      </c>
      <c r="AG167" s="12"/>
      <c r="AH167">
        <v>6.2</v>
      </c>
      <c r="AJ167">
        <v>71</v>
      </c>
      <c r="AM167" s="13"/>
      <c r="AR167" s="12"/>
      <c r="AS167">
        <v>6.2</v>
      </c>
      <c r="AT167">
        <v>9</v>
      </c>
      <c r="AU167">
        <v>71</v>
      </c>
      <c r="AV167">
        <v>58.7</v>
      </c>
      <c r="AW167">
        <f t="shared" si="89"/>
        <v>2.8</v>
      </c>
      <c r="AX167" s="13">
        <f t="shared" si="95"/>
        <v>12.299999999999997</v>
      </c>
      <c r="BC167" s="12"/>
      <c r="BD167">
        <v>6.2</v>
      </c>
      <c r="BE167">
        <v>9.2100000000000009</v>
      </c>
      <c r="BF167">
        <v>71</v>
      </c>
      <c r="BG167">
        <v>67.650000000000006</v>
      </c>
      <c r="BH167">
        <f t="shared" si="97"/>
        <v>3.0100000000000007</v>
      </c>
      <c r="BI167" s="13">
        <f t="shared" si="96"/>
        <v>3.3499999999999943</v>
      </c>
    </row>
    <row r="168" spans="2:61" x14ac:dyDescent="0.25">
      <c r="B168" s="6"/>
      <c r="C168" s="7">
        <v>10.8</v>
      </c>
      <c r="D168" s="7">
        <v>9.9</v>
      </c>
      <c r="E168" s="7">
        <v>60</v>
      </c>
      <c r="F168" s="7">
        <v>74.599999999999994</v>
      </c>
      <c r="G168" s="7">
        <f t="shared" si="81"/>
        <v>0.90000000000000036</v>
      </c>
      <c r="H168" s="8">
        <f t="shared" si="91"/>
        <v>14.599999999999994</v>
      </c>
      <c r="L168" s="6"/>
      <c r="M168" s="7">
        <v>10.8</v>
      </c>
      <c r="N168" s="7">
        <v>10.1</v>
      </c>
      <c r="O168" s="7">
        <v>60</v>
      </c>
      <c r="P168" s="7">
        <v>80.8</v>
      </c>
      <c r="Q168" s="7">
        <f t="shared" si="83"/>
        <v>0.70000000000000107</v>
      </c>
      <c r="R168" s="8">
        <f t="shared" si="92"/>
        <v>20.799999999999997</v>
      </c>
      <c r="V168" s="6"/>
      <c r="W168" s="7">
        <v>10.8</v>
      </c>
      <c r="X168" s="7">
        <v>9.4</v>
      </c>
      <c r="Y168" s="7">
        <v>60</v>
      </c>
      <c r="Z168" s="7">
        <v>92.9</v>
      </c>
      <c r="AA168" s="7">
        <f t="shared" si="85"/>
        <v>1.4000000000000004</v>
      </c>
      <c r="AB168" s="8">
        <f t="shared" si="93"/>
        <v>32.900000000000006</v>
      </c>
      <c r="AG168" s="6"/>
      <c r="AH168" s="7">
        <v>10.8</v>
      </c>
      <c r="AI168" s="7"/>
      <c r="AJ168" s="7">
        <v>60</v>
      </c>
      <c r="AK168" s="7"/>
      <c r="AL168" s="7"/>
      <c r="AM168" s="8"/>
      <c r="AR168" s="6"/>
      <c r="AS168" s="7">
        <v>10.8</v>
      </c>
      <c r="AT168" s="7">
        <v>10</v>
      </c>
      <c r="AU168" s="7">
        <v>60</v>
      </c>
      <c r="AV168" s="7">
        <v>66.3</v>
      </c>
      <c r="AW168" s="7">
        <f t="shared" si="89"/>
        <v>0.80000000000000071</v>
      </c>
      <c r="AX168" s="8">
        <f t="shared" si="95"/>
        <v>6.2999999999999972</v>
      </c>
      <c r="BC168" s="6"/>
      <c r="BD168" s="7">
        <v>10.8</v>
      </c>
      <c r="BE168" s="7">
        <v>11.61</v>
      </c>
      <c r="BF168" s="7">
        <v>60</v>
      </c>
      <c r="BG168" s="7">
        <v>80.849999999999994</v>
      </c>
      <c r="BH168" s="7">
        <f t="shared" si="97"/>
        <v>0.80999999999999872</v>
      </c>
      <c r="BI168" s="8">
        <f t="shared" si="96"/>
        <v>20.849999999999994</v>
      </c>
    </row>
    <row r="169" spans="2:61" x14ac:dyDescent="0.25">
      <c r="B169" s="3" t="s">
        <v>105</v>
      </c>
      <c r="C169" s="4">
        <v>14.8</v>
      </c>
      <c r="D169" s="4">
        <v>14.7</v>
      </c>
      <c r="E169" s="4">
        <v>88</v>
      </c>
      <c r="F169" s="4">
        <v>70.099999999999994</v>
      </c>
      <c r="G169" s="4">
        <f t="shared" si="81"/>
        <v>0.10000000000000142</v>
      </c>
      <c r="H169" s="5">
        <f t="shared" si="91"/>
        <v>17.900000000000006</v>
      </c>
      <c r="L169" s="3" t="s">
        <v>105</v>
      </c>
      <c r="M169" s="4">
        <v>14.8</v>
      </c>
      <c r="N169" s="4">
        <v>14</v>
      </c>
      <c r="O169" s="4">
        <v>88</v>
      </c>
      <c r="P169" s="4">
        <v>88.8</v>
      </c>
      <c r="Q169" s="4">
        <f t="shared" si="83"/>
        <v>0.80000000000000071</v>
      </c>
      <c r="R169" s="5">
        <f t="shared" si="92"/>
        <v>0.79999999999999716</v>
      </c>
      <c r="V169" s="3" t="s">
        <v>105</v>
      </c>
      <c r="W169" s="4">
        <v>14.8</v>
      </c>
      <c r="X169" s="4">
        <v>13.8</v>
      </c>
      <c r="Y169" s="4">
        <v>88</v>
      </c>
      <c r="Z169" s="4">
        <v>88.8</v>
      </c>
      <c r="AA169" s="4">
        <f t="shared" si="85"/>
        <v>1</v>
      </c>
      <c r="AB169" s="5">
        <f t="shared" si="93"/>
        <v>0.79999999999999716</v>
      </c>
      <c r="AG169" s="3" t="s">
        <v>105</v>
      </c>
      <c r="AH169" s="4">
        <v>14.8</v>
      </c>
      <c r="AI169" s="4"/>
      <c r="AJ169" s="4">
        <v>88</v>
      </c>
      <c r="AK169" s="4"/>
      <c r="AL169" s="4"/>
      <c r="AM169" s="5"/>
      <c r="AR169" s="3" t="s">
        <v>105</v>
      </c>
      <c r="AS169" s="4">
        <v>14.8</v>
      </c>
      <c r="AT169" s="4">
        <v>15.2</v>
      </c>
      <c r="AU169" s="4">
        <v>88</v>
      </c>
      <c r="AV169" s="4">
        <v>87.6</v>
      </c>
      <c r="AW169">
        <f t="shared" si="89"/>
        <v>0.39999999999999858</v>
      </c>
      <c r="AX169" s="13">
        <f t="shared" si="95"/>
        <v>0.40000000000000568</v>
      </c>
      <c r="BC169" s="3" t="s">
        <v>105</v>
      </c>
      <c r="BD169" s="4">
        <v>14.8</v>
      </c>
      <c r="BE169" s="4">
        <v>15.21</v>
      </c>
      <c r="BF169" s="4">
        <v>88</v>
      </c>
      <c r="BG169" s="4">
        <v>61.24</v>
      </c>
      <c r="BH169">
        <f t="shared" si="97"/>
        <v>0.41000000000000014</v>
      </c>
      <c r="BI169" s="13">
        <f t="shared" si="96"/>
        <v>26.759999999999998</v>
      </c>
    </row>
    <row r="170" spans="2:61" x14ac:dyDescent="0.25">
      <c r="B170" s="12"/>
      <c r="C170">
        <v>12</v>
      </c>
      <c r="D170">
        <v>10</v>
      </c>
      <c r="E170">
        <v>89</v>
      </c>
      <c r="F170">
        <v>74.8</v>
      </c>
      <c r="G170">
        <f t="shared" si="81"/>
        <v>2</v>
      </c>
      <c r="H170" s="13">
        <f t="shared" si="91"/>
        <v>14.200000000000003</v>
      </c>
      <c r="L170" s="12"/>
      <c r="M170">
        <v>12</v>
      </c>
      <c r="N170">
        <v>10.7</v>
      </c>
      <c r="O170">
        <v>89</v>
      </c>
      <c r="P170">
        <v>95.4</v>
      </c>
      <c r="Q170">
        <f t="shared" si="83"/>
        <v>1.3000000000000007</v>
      </c>
      <c r="R170" s="13">
        <f t="shared" si="92"/>
        <v>6.4000000000000057</v>
      </c>
      <c r="V170" s="12"/>
      <c r="W170">
        <v>12</v>
      </c>
      <c r="X170">
        <v>11.7</v>
      </c>
      <c r="Y170">
        <v>89</v>
      </c>
      <c r="Z170">
        <v>91.4</v>
      </c>
      <c r="AA170">
        <f t="shared" si="85"/>
        <v>0.30000000000000071</v>
      </c>
      <c r="AB170" s="13">
        <f t="shared" si="93"/>
        <v>2.4000000000000057</v>
      </c>
      <c r="AG170" s="12"/>
      <c r="AH170">
        <v>12</v>
      </c>
      <c r="AJ170">
        <v>89</v>
      </c>
      <c r="AM170" s="13"/>
      <c r="AR170" s="12"/>
      <c r="AS170">
        <v>12</v>
      </c>
      <c r="AT170">
        <v>11.9</v>
      </c>
      <c r="AU170">
        <v>89</v>
      </c>
      <c r="AV170">
        <v>73.5</v>
      </c>
      <c r="AW170">
        <f t="shared" si="89"/>
        <v>9.9999999999999645E-2</v>
      </c>
      <c r="AX170" s="13">
        <f t="shared" si="95"/>
        <v>15.5</v>
      </c>
      <c r="BC170" s="12"/>
      <c r="BD170">
        <v>12</v>
      </c>
      <c r="BE170">
        <v>12.01</v>
      </c>
      <c r="BF170">
        <v>89</v>
      </c>
      <c r="BG170">
        <v>68.05</v>
      </c>
      <c r="BH170">
        <f t="shared" si="97"/>
        <v>9.9999999999997868E-3</v>
      </c>
      <c r="BI170" s="13">
        <f t="shared" si="96"/>
        <v>20.950000000000003</v>
      </c>
    </row>
    <row r="171" spans="2:61" x14ac:dyDescent="0.25">
      <c r="B171" s="12"/>
      <c r="C171">
        <v>8.8000000000000007</v>
      </c>
      <c r="D171">
        <v>8.5</v>
      </c>
      <c r="E171">
        <v>74</v>
      </c>
      <c r="F171">
        <v>58.2</v>
      </c>
      <c r="G171">
        <f t="shared" si="81"/>
        <v>0.30000000000000071</v>
      </c>
      <c r="H171" s="13">
        <f t="shared" si="91"/>
        <v>15.799999999999997</v>
      </c>
      <c r="L171" s="12"/>
      <c r="M171">
        <v>8.8000000000000007</v>
      </c>
      <c r="N171">
        <v>9.6</v>
      </c>
      <c r="O171">
        <v>74</v>
      </c>
      <c r="P171">
        <v>52.8</v>
      </c>
      <c r="Q171">
        <f t="shared" si="83"/>
        <v>0.79999999999999893</v>
      </c>
      <c r="R171" s="13">
        <f t="shared" si="92"/>
        <v>21.200000000000003</v>
      </c>
      <c r="V171" s="12"/>
      <c r="W171">
        <v>8.8000000000000007</v>
      </c>
      <c r="X171">
        <v>8.1999999999999993</v>
      </c>
      <c r="Y171">
        <v>74</v>
      </c>
      <c r="Z171">
        <v>86.7</v>
      </c>
      <c r="AA171">
        <f t="shared" si="85"/>
        <v>0.60000000000000142</v>
      </c>
      <c r="AB171" s="13">
        <f t="shared" si="93"/>
        <v>12.700000000000003</v>
      </c>
      <c r="AG171" s="12"/>
      <c r="AH171">
        <v>8.8000000000000007</v>
      </c>
      <c r="AJ171">
        <v>74</v>
      </c>
      <c r="AM171" s="13"/>
      <c r="AR171" s="12"/>
      <c r="AS171">
        <v>8.8000000000000007</v>
      </c>
      <c r="AT171">
        <v>9.1999999999999993</v>
      </c>
      <c r="AU171">
        <v>74</v>
      </c>
      <c r="AV171">
        <v>60.2</v>
      </c>
      <c r="AW171">
        <f t="shared" si="89"/>
        <v>0.39999999999999858</v>
      </c>
      <c r="AX171" s="13">
        <f t="shared" si="95"/>
        <v>13.799999999999997</v>
      </c>
      <c r="BC171" s="12"/>
      <c r="BD171">
        <v>8.8000000000000007</v>
      </c>
      <c r="BE171">
        <v>16.41</v>
      </c>
      <c r="BF171">
        <v>74</v>
      </c>
      <c r="BG171">
        <v>64.040000000000006</v>
      </c>
      <c r="BH171">
        <f t="shared" si="97"/>
        <v>7.6099999999999994</v>
      </c>
      <c r="BI171" s="13">
        <f t="shared" si="96"/>
        <v>9.9599999999999937</v>
      </c>
    </row>
    <row r="172" spans="2:61" x14ac:dyDescent="0.25">
      <c r="B172" s="6"/>
      <c r="C172" s="7">
        <v>10.8</v>
      </c>
      <c r="D172" s="7">
        <v>11</v>
      </c>
      <c r="E172" s="7">
        <v>62</v>
      </c>
      <c r="F172" s="7">
        <v>69.2</v>
      </c>
      <c r="G172">
        <f t="shared" si="81"/>
        <v>0.19999999999999929</v>
      </c>
      <c r="H172" s="13">
        <f>ABS(F172-E172)</f>
        <v>7.2000000000000028</v>
      </c>
      <c r="L172" s="6"/>
      <c r="M172" s="7">
        <v>10.8</v>
      </c>
      <c r="N172" s="7">
        <v>9.9</v>
      </c>
      <c r="O172" s="7">
        <v>62</v>
      </c>
      <c r="P172" s="7">
        <v>93.2</v>
      </c>
      <c r="Q172" s="7">
        <f t="shared" si="83"/>
        <v>0.90000000000000036</v>
      </c>
      <c r="R172" s="8">
        <f t="shared" si="92"/>
        <v>31.200000000000003</v>
      </c>
      <c r="V172" s="6"/>
      <c r="W172" s="7">
        <v>10.8</v>
      </c>
      <c r="X172" s="7">
        <v>9.6999999999999993</v>
      </c>
      <c r="Y172" s="7">
        <v>62</v>
      </c>
      <c r="Z172" s="7">
        <v>82.9</v>
      </c>
      <c r="AA172" s="7">
        <f t="shared" si="85"/>
        <v>1.1000000000000014</v>
      </c>
      <c r="AB172" s="8">
        <f t="shared" si="93"/>
        <v>20.900000000000006</v>
      </c>
      <c r="AG172" s="6"/>
      <c r="AH172" s="7">
        <v>10.8</v>
      </c>
      <c r="AI172" s="7"/>
      <c r="AJ172" s="7">
        <v>62</v>
      </c>
      <c r="AK172" s="7"/>
      <c r="AL172" s="7"/>
      <c r="AM172" s="8"/>
      <c r="AR172" s="6"/>
      <c r="AS172" s="7">
        <v>10.8</v>
      </c>
      <c r="AT172" s="7">
        <v>10.7</v>
      </c>
      <c r="AU172" s="7">
        <v>62</v>
      </c>
      <c r="AV172" s="7">
        <v>86.8</v>
      </c>
      <c r="AW172" s="7">
        <f t="shared" si="89"/>
        <v>0.10000000000000142</v>
      </c>
      <c r="AX172" s="8">
        <f t="shared" si="95"/>
        <v>24.799999999999997</v>
      </c>
      <c r="BC172" s="6"/>
      <c r="BD172" s="7">
        <v>10.8</v>
      </c>
      <c r="BE172" s="7">
        <v>10.41</v>
      </c>
      <c r="BF172" s="7">
        <v>62</v>
      </c>
      <c r="BG172" s="7">
        <v>62.44</v>
      </c>
      <c r="BH172" s="7">
        <f t="shared" si="97"/>
        <v>0.39000000000000057</v>
      </c>
      <c r="BI172" s="8">
        <f t="shared" si="96"/>
        <v>0.43999999999999773</v>
      </c>
    </row>
    <row r="173" spans="2:61" x14ac:dyDescent="0.25">
      <c r="B173" s="3" t="s">
        <v>106</v>
      </c>
      <c r="C173" s="4">
        <v>15</v>
      </c>
      <c r="D173" s="4">
        <v>14.7</v>
      </c>
      <c r="E173" s="4">
        <v>97</v>
      </c>
      <c r="F173" s="4">
        <v>71.900000000000006</v>
      </c>
      <c r="G173" s="4">
        <f t="shared" si="81"/>
        <v>0.30000000000000071</v>
      </c>
      <c r="H173" s="5">
        <f t="shared" ref="H173:H192" si="98">ABS(F173-E173)</f>
        <v>25.099999999999994</v>
      </c>
      <c r="L173" s="3" t="s">
        <v>106</v>
      </c>
      <c r="M173" s="4">
        <v>15</v>
      </c>
      <c r="N173" s="4">
        <v>14.3</v>
      </c>
      <c r="O173" s="4">
        <v>97</v>
      </c>
      <c r="P173" s="4">
        <v>90</v>
      </c>
      <c r="Q173">
        <f t="shared" si="83"/>
        <v>0.69999999999999929</v>
      </c>
      <c r="R173" s="13">
        <f t="shared" si="92"/>
        <v>7</v>
      </c>
      <c r="V173" s="3" t="s">
        <v>106</v>
      </c>
      <c r="W173" s="4">
        <v>15</v>
      </c>
      <c r="X173" s="4">
        <v>14</v>
      </c>
      <c r="Y173" s="4">
        <v>97</v>
      </c>
      <c r="Z173" s="4">
        <v>94.6</v>
      </c>
      <c r="AA173" s="4">
        <f t="shared" si="85"/>
        <v>1</v>
      </c>
      <c r="AB173" s="5">
        <f t="shared" si="93"/>
        <v>2.4000000000000057</v>
      </c>
      <c r="AG173" s="3" t="s">
        <v>106</v>
      </c>
      <c r="AH173" s="4">
        <v>15</v>
      </c>
      <c r="AI173" s="4"/>
      <c r="AJ173" s="4">
        <v>97</v>
      </c>
      <c r="AK173" s="4"/>
      <c r="AL173" s="4"/>
      <c r="AM173" s="5"/>
      <c r="AR173" s="3" t="s">
        <v>106</v>
      </c>
      <c r="AS173" s="4">
        <v>15</v>
      </c>
      <c r="AT173" s="4">
        <v>14.8</v>
      </c>
      <c r="AU173" s="4">
        <v>97</v>
      </c>
      <c r="AV173" s="4">
        <v>64.7</v>
      </c>
      <c r="AW173">
        <f t="shared" si="89"/>
        <v>0.19999999999999929</v>
      </c>
      <c r="AX173" s="13">
        <f t="shared" si="95"/>
        <v>32.299999999999997</v>
      </c>
      <c r="BC173" s="3" t="s">
        <v>106</v>
      </c>
      <c r="BD173" s="4">
        <v>15</v>
      </c>
      <c r="BE173" s="4"/>
      <c r="BF173" s="4">
        <v>97</v>
      </c>
      <c r="BG173" s="4"/>
      <c r="BH173">
        <f t="shared" si="97"/>
        <v>15</v>
      </c>
      <c r="BI173" s="13">
        <f t="shared" si="96"/>
        <v>97</v>
      </c>
    </row>
    <row r="174" spans="2:61" x14ac:dyDescent="0.25">
      <c r="B174" s="12"/>
      <c r="C174">
        <v>10</v>
      </c>
      <c r="D174">
        <v>9.6</v>
      </c>
      <c r="E174">
        <v>92</v>
      </c>
      <c r="F174">
        <v>80.7</v>
      </c>
      <c r="G174">
        <f t="shared" si="81"/>
        <v>0.40000000000000036</v>
      </c>
      <c r="H174" s="13">
        <f t="shared" si="98"/>
        <v>11.299999999999997</v>
      </c>
      <c r="L174" s="12"/>
      <c r="M174">
        <v>10</v>
      </c>
      <c r="N174">
        <v>10</v>
      </c>
      <c r="O174">
        <v>92</v>
      </c>
      <c r="P174">
        <v>86</v>
      </c>
      <c r="Q174">
        <f t="shared" si="83"/>
        <v>0</v>
      </c>
      <c r="R174" s="13">
        <f t="shared" si="92"/>
        <v>6</v>
      </c>
      <c r="V174" s="12"/>
      <c r="W174">
        <v>10</v>
      </c>
      <c r="X174">
        <v>10</v>
      </c>
      <c r="Y174">
        <v>92</v>
      </c>
      <c r="Z174">
        <v>87.9</v>
      </c>
      <c r="AA174">
        <f t="shared" si="85"/>
        <v>0</v>
      </c>
      <c r="AB174" s="13">
        <f t="shared" si="93"/>
        <v>4.0999999999999943</v>
      </c>
      <c r="AG174" s="12"/>
      <c r="AH174">
        <v>10</v>
      </c>
      <c r="AJ174">
        <v>92</v>
      </c>
      <c r="AM174" s="13"/>
      <c r="AR174" s="12"/>
      <c r="AS174">
        <v>10</v>
      </c>
      <c r="AT174">
        <v>9.6</v>
      </c>
      <c r="AU174">
        <v>92</v>
      </c>
      <c r="AV174">
        <v>89.2</v>
      </c>
      <c r="AW174">
        <f t="shared" si="89"/>
        <v>0.40000000000000036</v>
      </c>
      <c r="AX174" s="13">
        <f t="shared" si="95"/>
        <v>2.7999999999999972</v>
      </c>
      <c r="BC174" s="12"/>
      <c r="BD174">
        <v>10</v>
      </c>
      <c r="BF174">
        <v>92</v>
      </c>
      <c r="BH174">
        <f t="shared" si="97"/>
        <v>10</v>
      </c>
      <c r="BI174" s="13">
        <f t="shared" si="96"/>
        <v>92</v>
      </c>
    </row>
    <row r="175" spans="2:61" x14ac:dyDescent="0.25">
      <c r="B175" s="12"/>
      <c r="C175">
        <v>8.8000000000000007</v>
      </c>
      <c r="D175">
        <v>6.9</v>
      </c>
      <c r="E175">
        <v>77</v>
      </c>
      <c r="F175">
        <v>63.4</v>
      </c>
      <c r="G175">
        <f t="shared" si="81"/>
        <v>1.9000000000000004</v>
      </c>
      <c r="H175" s="13">
        <f t="shared" si="98"/>
        <v>13.600000000000001</v>
      </c>
      <c r="L175" s="12"/>
      <c r="M175">
        <v>8.8000000000000007</v>
      </c>
      <c r="N175">
        <v>9.1</v>
      </c>
      <c r="O175">
        <v>77</v>
      </c>
      <c r="P175">
        <v>66.400000000000006</v>
      </c>
      <c r="Q175">
        <f t="shared" si="83"/>
        <v>0.29999999999999893</v>
      </c>
      <c r="R175" s="13">
        <f t="shared" si="92"/>
        <v>10.599999999999994</v>
      </c>
      <c r="V175" s="12"/>
      <c r="W175">
        <v>8.8000000000000007</v>
      </c>
      <c r="X175">
        <v>7.9</v>
      </c>
      <c r="Y175">
        <v>77</v>
      </c>
      <c r="Z175">
        <v>84.1</v>
      </c>
      <c r="AA175">
        <f t="shared" si="85"/>
        <v>0.90000000000000036</v>
      </c>
      <c r="AB175" s="13">
        <f t="shared" si="93"/>
        <v>7.0999999999999943</v>
      </c>
      <c r="AG175" s="12"/>
      <c r="AH175">
        <v>8.8000000000000007</v>
      </c>
      <c r="AJ175">
        <v>77</v>
      </c>
      <c r="AM175" s="13"/>
      <c r="AR175" s="12"/>
      <c r="AS175">
        <v>8.8000000000000007</v>
      </c>
      <c r="AT175">
        <v>8.4</v>
      </c>
      <c r="AU175">
        <v>77</v>
      </c>
      <c r="AV175">
        <v>66.5</v>
      </c>
      <c r="AW175">
        <f t="shared" si="89"/>
        <v>0.40000000000000036</v>
      </c>
      <c r="AX175" s="13">
        <f t="shared" si="95"/>
        <v>10.5</v>
      </c>
      <c r="BC175" s="12"/>
      <c r="BD175">
        <v>8.8000000000000007</v>
      </c>
      <c r="BF175">
        <v>77</v>
      </c>
      <c r="BH175">
        <f t="shared" si="97"/>
        <v>8.8000000000000007</v>
      </c>
      <c r="BI175" s="13">
        <f t="shared" si="96"/>
        <v>77</v>
      </c>
    </row>
    <row r="176" spans="2:61" x14ac:dyDescent="0.25">
      <c r="B176" s="6"/>
      <c r="C176" s="7">
        <v>12.4</v>
      </c>
      <c r="D176" s="7">
        <v>12.1</v>
      </c>
      <c r="E176" s="7">
        <v>61</v>
      </c>
      <c r="F176" s="7">
        <v>65.599999999999994</v>
      </c>
      <c r="G176" s="7">
        <f t="shared" si="81"/>
        <v>0.30000000000000071</v>
      </c>
      <c r="H176" s="8">
        <f t="shared" si="98"/>
        <v>4.5999999999999943</v>
      </c>
      <c r="L176" s="6"/>
      <c r="M176" s="7">
        <v>12.4</v>
      </c>
      <c r="N176" s="7">
        <v>13.2</v>
      </c>
      <c r="O176" s="7">
        <v>61</v>
      </c>
      <c r="P176" s="7">
        <v>60.8</v>
      </c>
      <c r="Q176" s="7">
        <f t="shared" si="83"/>
        <v>0.79999999999999893</v>
      </c>
      <c r="R176" s="8">
        <f t="shared" si="92"/>
        <v>0.20000000000000284</v>
      </c>
      <c r="V176" s="6"/>
      <c r="W176" s="7">
        <v>12.4</v>
      </c>
      <c r="X176" s="7">
        <v>11.1</v>
      </c>
      <c r="Y176" s="7">
        <v>61</v>
      </c>
      <c r="Z176" s="7">
        <v>83.5</v>
      </c>
      <c r="AA176" s="7">
        <f t="shared" si="85"/>
        <v>1.3000000000000007</v>
      </c>
      <c r="AB176" s="8">
        <f t="shared" si="93"/>
        <v>22.5</v>
      </c>
      <c r="AG176" s="6"/>
      <c r="AH176" s="7">
        <v>12.4</v>
      </c>
      <c r="AI176" s="7"/>
      <c r="AJ176" s="7">
        <v>61</v>
      </c>
      <c r="AK176" s="7"/>
      <c r="AL176" s="7"/>
      <c r="AM176" s="8"/>
      <c r="AR176" s="6"/>
      <c r="AS176" s="7">
        <v>12.4</v>
      </c>
      <c r="AT176" s="7">
        <v>12.4</v>
      </c>
      <c r="AU176" s="7">
        <v>61</v>
      </c>
      <c r="AV176" s="7">
        <v>52.8</v>
      </c>
      <c r="AW176" s="7">
        <f t="shared" si="89"/>
        <v>0</v>
      </c>
      <c r="AX176" s="8">
        <f t="shared" si="95"/>
        <v>8.2000000000000028</v>
      </c>
      <c r="BC176" s="6"/>
      <c r="BD176" s="7">
        <v>12.4</v>
      </c>
      <c r="BE176" s="7"/>
      <c r="BF176" s="7">
        <v>61</v>
      </c>
      <c r="BG176" s="7"/>
      <c r="BH176" s="7">
        <f t="shared" si="97"/>
        <v>12.4</v>
      </c>
      <c r="BI176" s="8">
        <f t="shared" si="96"/>
        <v>61</v>
      </c>
    </row>
    <row r="177" spans="2:61" x14ac:dyDescent="0.25">
      <c r="B177" s="3" t="s">
        <v>107</v>
      </c>
      <c r="C177" s="4">
        <v>13.8</v>
      </c>
      <c r="D177" s="4">
        <v>13.8</v>
      </c>
      <c r="E177" s="4">
        <v>93</v>
      </c>
      <c r="F177" s="4">
        <v>76.3</v>
      </c>
      <c r="G177" s="4">
        <f t="shared" si="81"/>
        <v>0</v>
      </c>
      <c r="H177" s="5">
        <f t="shared" si="98"/>
        <v>16.700000000000003</v>
      </c>
      <c r="L177" s="3" t="s">
        <v>107</v>
      </c>
      <c r="M177" s="4">
        <v>13.8</v>
      </c>
      <c r="N177" s="4">
        <v>14</v>
      </c>
      <c r="O177" s="4">
        <v>93</v>
      </c>
      <c r="P177" s="4">
        <v>94</v>
      </c>
      <c r="Q177" s="4">
        <f t="shared" si="83"/>
        <v>0.19999999999999929</v>
      </c>
      <c r="R177" s="5">
        <f t="shared" si="92"/>
        <v>1</v>
      </c>
      <c r="V177" s="3" t="s">
        <v>107</v>
      </c>
      <c r="W177" s="4">
        <v>13.8</v>
      </c>
      <c r="X177" s="4">
        <v>14.1</v>
      </c>
      <c r="Y177" s="4">
        <v>93</v>
      </c>
      <c r="Z177" s="4">
        <v>89.1</v>
      </c>
      <c r="AA177" s="4">
        <f t="shared" si="85"/>
        <v>0.29999999999999893</v>
      </c>
      <c r="AB177" s="5">
        <f t="shared" si="93"/>
        <v>3.9000000000000057</v>
      </c>
      <c r="AG177" s="3" t="s">
        <v>107</v>
      </c>
      <c r="AH177" s="4">
        <v>13.8</v>
      </c>
      <c r="AI177" s="4"/>
      <c r="AJ177" s="4">
        <v>93</v>
      </c>
      <c r="AK177" s="4"/>
      <c r="AL177" s="4"/>
      <c r="AM177" s="5"/>
      <c r="AR177" s="3" t="s">
        <v>107</v>
      </c>
      <c r="AS177" s="4">
        <v>13.8</v>
      </c>
      <c r="AT177" s="4">
        <v>13.6</v>
      </c>
      <c r="AU177" s="4">
        <v>93</v>
      </c>
      <c r="AV177" s="4">
        <v>80.900000000000006</v>
      </c>
      <c r="AW177" s="4">
        <f t="shared" si="89"/>
        <v>0.20000000000000107</v>
      </c>
      <c r="AX177" s="5">
        <f t="shared" si="95"/>
        <v>12.099999999999994</v>
      </c>
      <c r="BC177" s="3" t="s">
        <v>107</v>
      </c>
      <c r="BD177" s="4">
        <v>13.8</v>
      </c>
      <c r="BE177" s="4"/>
      <c r="BF177" s="4">
        <v>93</v>
      </c>
      <c r="BG177" s="4"/>
      <c r="BH177" s="4">
        <f t="shared" si="97"/>
        <v>13.8</v>
      </c>
      <c r="BI177" s="5">
        <f t="shared" si="96"/>
        <v>93</v>
      </c>
    </row>
    <row r="178" spans="2:61" x14ac:dyDescent="0.25">
      <c r="B178" s="12"/>
      <c r="C178">
        <v>13</v>
      </c>
      <c r="D178">
        <v>13.3</v>
      </c>
      <c r="E178">
        <v>93</v>
      </c>
      <c r="F178">
        <v>69.3</v>
      </c>
      <c r="G178">
        <f t="shared" si="81"/>
        <v>0.30000000000000071</v>
      </c>
      <c r="H178" s="13">
        <f t="shared" si="98"/>
        <v>23.700000000000003</v>
      </c>
      <c r="L178" s="12"/>
      <c r="M178">
        <v>13</v>
      </c>
      <c r="N178">
        <v>13.5</v>
      </c>
      <c r="O178">
        <v>93</v>
      </c>
      <c r="P178">
        <v>94.4</v>
      </c>
      <c r="Q178">
        <f t="shared" si="83"/>
        <v>0.5</v>
      </c>
      <c r="R178" s="13">
        <f t="shared" si="92"/>
        <v>1.4000000000000057</v>
      </c>
      <c r="V178" s="12"/>
      <c r="W178">
        <v>13</v>
      </c>
      <c r="X178">
        <v>12.9</v>
      </c>
      <c r="Y178">
        <v>93</v>
      </c>
      <c r="Z178">
        <v>93.5</v>
      </c>
      <c r="AA178">
        <f t="shared" si="85"/>
        <v>9.9999999999999645E-2</v>
      </c>
      <c r="AB178" s="13">
        <f t="shared" si="93"/>
        <v>0.5</v>
      </c>
      <c r="AG178" s="12"/>
      <c r="AH178">
        <v>13</v>
      </c>
      <c r="AJ178">
        <v>93</v>
      </c>
      <c r="AM178" s="13"/>
      <c r="AR178" s="12"/>
      <c r="AS178">
        <v>13</v>
      </c>
      <c r="AT178">
        <v>13.3</v>
      </c>
      <c r="AU178">
        <v>93</v>
      </c>
      <c r="AV178">
        <v>58.8</v>
      </c>
      <c r="AW178">
        <f t="shared" si="89"/>
        <v>0.30000000000000071</v>
      </c>
      <c r="AX178" s="13">
        <f t="shared" si="95"/>
        <v>34.200000000000003</v>
      </c>
      <c r="BC178" s="12"/>
      <c r="BD178">
        <v>13</v>
      </c>
      <c r="BF178">
        <v>93</v>
      </c>
      <c r="BH178">
        <f t="shared" si="97"/>
        <v>13</v>
      </c>
      <c r="BI178" s="13">
        <f t="shared" si="96"/>
        <v>93</v>
      </c>
    </row>
    <row r="179" spans="2:61" x14ac:dyDescent="0.25">
      <c r="B179" s="12"/>
      <c r="C179">
        <v>10.8</v>
      </c>
      <c r="D179">
        <v>11.1</v>
      </c>
      <c r="E179">
        <v>78</v>
      </c>
      <c r="F179">
        <v>71.8</v>
      </c>
      <c r="G179">
        <f t="shared" si="81"/>
        <v>0.29999999999999893</v>
      </c>
      <c r="H179" s="13">
        <f t="shared" si="98"/>
        <v>6.2000000000000028</v>
      </c>
      <c r="L179" s="12"/>
      <c r="M179">
        <v>10.8</v>
      </c>
      <c r="N179">
        <v>9.9</v>
      </c>
      <c r="O179">
        <v>78</v>
      </c>
      <c r="P179">
        <v>68.400000000000006</v>
      </c>
      <c r="Q179">
        <f t="shared" si="83"/>
        <v>0.90000000000000036</v>
      </c>
      <c r="R179" s="13">
        <f t="shared" si="92"/>
        <v>9.5999999999999943</v>
      </c>
      <c r="V179" s="12"/>
      <c r="W179">
        <v>10.8</v>
      </c>
      <c r="X179">
        <v>11.7</v>
      </c>
      <c r="Y179">
        <v>78</v>
      </c>
      <c r="Z179">
        <v>86.4</v>
      </c>
      <c r="AA179">
        <f t="shared" si="85"/>
        <v>0.89999999999999858</v>
      </c>
      <c r="AB179" s="13">
        <f t="shared" si="93"/>
        <v>8.4000000000000057</v>
      </c>
      <c r="AG179" s="12"/>
      <c r="AH179">
        <v>10.8</v>
      </c>
      <c r="AJ179">
        <v>78</v>
      </c>
      <c r="AM179" s="13"/>
      <c r="AR179" s="12"/>
      <c r="AS179">
        <v>10.8</v>
      </c>
      <c r="AT179">
        <v>11.4</v>
      </c>
      <c r="AU179">
        <v>78</v>
      </c>
      <c r="AV179">
        <v>53.2</v>
      </c>
      <c r="AW179">
        <f t="shared" si="89"/>
        <v>0.59999999999999964</v>
      </c>
      <c r="AX179" s="13">
        <f t="shared" si="95"/>
        <v>24.799999999999997</v>
      </c>
      <c r="BC179" s="12"/>
      <c r="BD179">
        <v>10.8</v>
      </c>
      <c r="BF179">
        <v>78</v>
      </c>
      <c r="BH179">
        <f t="shared" si="97"/>
        <v>10.8</v>
      </c>
      <c r="BI179" s="13">
        <f t="shared" si="96"/>
        <v>78</v>
      </c>
    </row>
    <row r="180" spans="2:61" x14ac:dyDescent="0.25">
      <c r="B180" s="6"/>
      <c r="C180" s="7">
        <v>11.6</v>
      </c>
      <c r="D180" s="7">
        <v>9.6999999999999993</v>
      </c>
      <c r="E180" s="7">
        <v>68</v>
      </c>
      <c r="F180" s="7">
        <v>74.599999999999994</v>
      </c>
      <c r="G180" s="7">
        <f t="shared" si="81"/>
        <v>1.9000000000000004</v>
      </c>
      <c r="H180" s="8">
        <f t="shared" si="98"/>
        <v>6.5999999999999943</v>
      </c>
      <c r="L180" s="6"/>
      <c r="M180" s="7">
        <v>11.6</v>
      </c>
      <c r="N180" s="7">
        <v>10</v>
      </c>
      <c r="O180" s="7">
        <v>68</v>
      </c>
      <c r="P180" s="7">
        <v>86.8</v>
      </c>
      <c r="Q180" s="7">
        <f t="shared" si="83"/>
        <v>1.5999999999999996</v>
      </c>
      <c r="R180" s="8">
        <f t="shared" si="92"/>
        <v>18.799999999999997</v>
      </c>
      <c r="V180" s="6"/>
      <c r="W180" s="7">
        <v>11.6</v>
      </c>
      <c r="X180" s="7">
        <v>9.4</v>
      </c>
      <c r="Y180" s="7">
        <v>68</v>
      </c>
      <c r="Z180" s="7">
        <v>85</v>
      </c>
      <c r="AA180">
        <f t="shared" si="85"/>
        <v>2.1999999999999993</v>
      </c>
      <c r="AB180" s="13">
        <f t="shared" si="93"/>
        <v>17</v>
      </c>
      <c r="AG180" s="6"/>
      <c r="AH180" s="7">
        <v>11.6</v>
      </c>
      <c r="AI180" s="7"/>
      <c r="AJ180" s="7">
        <v>68</v>
      </c>
      <c r="AK180" s="7"/>
      <c r="AL180" s="7"/>
      <c r="AM180" s="8"/>
      <c r="AR180" s="6"/>
      <c r="AS180" s="7">
        <v>11.6</v>
      </c>
      <c r="AT180" s="7">
        <v>10.1</v>
      </c>
      <c r="AU180" s="7">
        <v>68</v>
      </c>
      <c r="AV180" s="7">
        <v>69.7</v>
      </c>
      <c r="AW180">
        <f t="shared" si="89"/>
        <v>1.5</v>
      </c>
      <c r="AX180" s="13">
        <f t="shared" si="95"/>
        <v>1.7000000000000028</v>
      </c>
      <c r="BC180" s="6"/>
      <c r="BD180" s="7">
        <v>11.6</v>
      </c>
      <c r="BE180" s="7"/>
      <c r="BF180" s="7">
        <v>68</v>
      </c>
      <c r="BG180" s="7"/>
      <c r="BH180">
        <f t="shared" si="97"/>
        <v>11.6</v>
      </c>
      <c r="BI180" s="13">
        <f t="shared" si="96"/>
        <v>68</v>
      </c>
    </row>
    <row r="181" spans="2:61" x14ac:dyDescent="0.25">
      <c r="B181" s="3" t="s">
        <v>108</v>
      </c>
      <c r="C181" s="4">
        <v>13</v>
      </c>
      <c r="D181" s="4">
        <v>13.2</v>
      </c>
      <c r="E181" s="4">
        <v>94</v>
      </c>
      <c r="F181" s="4">
        <v>71.900000000000006</v>
      </c>
      <c r="G181" s="4">
        <f t="shared" si="81"/>
        <v>0.19999999999999929</v>
      </c>
      <c r="H181" s="5">
        <f t="shared" si="98"/>
        <v>22.099999999999994</v>
      </c>
      <c r="L181" s="3" t="s">
        <v>108</v>
      </c>
      <c r="M181" s="4">
        <v>13</v>
      </c>
      <c r="N181" s="4">
        <v>13.6</v>
      </c>
      <c r="O181" s="4">
        <v>94</v>
      </c>
      <c r="P181" s="4">
        <v>50</v>
      </c>
      <c r="Q181" s="4">
        <f t="shared" si="83"/>
        <v>0.59999999999999964</v>
      </c>
      <c r="R181" s="5">
        <f t="shared" si="92"/>
        <v>44</v>
      </c>
      <c r="V181" s="3" t="s">
        <v>108</v>
      </c>
      <c r="W181" s="4">
        <v>13</v>
      </c>
      <c r="X181" s="4">
        <v>12.9</v>
      </c>
      <c r="Y181" s="4">
        <v>94</v>
      </c>
      <c r="Z181" s="4">
        <v>83.2</v>
      </c>
      <c r="AA181" s="4">
        <f t="shared" si="85"/>
        <v>9.9999999999999645E-2</v>
      </c>
      <c r="AB181" s="5">
        <f t="shared" si="93"/>
        <v>10.799999999999997</v>
      </c>
      <c r="AG181" s="3" t="s">
        <v>108</v>
      </c>
      <c r="AH181" s="4">
        <v>13</v>
      </c>
      <c r="AI181" s="4"/>
      <c r="AJ181" s="4">
        <v>94</v>
      </c>
      <c r="AK181" s="4"/>
      <c r="AL181" s="4"/>
      <c r="AM181" s="5"/>
      <c r="AR181" s="3" t="s">
        <v>108</v>
      </c>
      <c r="AS181" s="4">
        <v>13</v>
      </c>
      <c r="AT181" s="4">
        <v>13.1</v>
      </c>
      <c r="AU181" s="4">
        <v>94</v>
      </c>
      <c r="AV181" s="4">
        <v>58.4</v>
      </c>
      <c r="AW181" s="4">
        <f>ABS(AS181-AT181)</f>
        <v>9.9999999999999645E-2</v>
      </c>
      <c r="AX181" s="5">
        <f>ABS(AV181-AU181)</f>
        <v>35.6</v>
      </c>
      <c r="BC181" s="3" t="s">
        <v>108</v>
      </c>
      <c r="BD181" s="4">
        <v>13</v>
      </c>
      <c r="BE181" s="4"/>
      <c r="BF181" s="4">
        <v>94</v>
      </c>
      <c r="BG181" s="4"/>
      <c r="BH181" s="4">
        <f>ABS(BD181-BE181)</f>
        <v>13</v>
      </c>
      <c r="BI181" s="5">
        <f>ABS(BG181-BF181)</f>
        <v>94</v>
      </c>
    </row>
    <row r="182" spans="2:61" x14ac:dyDescent="0.25">
      <c r="B182" s="12"/>
      <c r="C182">
        <v>10.8</v>
      </c>
      <c r="D182">
        <v>11</v>
      </c>
      <c r="E182">
        <v>86</v>
      </c>
      <c r="F182">
        <v>71.7</v>
      </c>
      <c r="G182">
        <f t="shared" si="81"/>
        <v>0.19999999999999929</v>
      </c>
      <c r="H182" s="13">
        <f t="shared" si="98"/>
        <v>14.299999999999997</v>
      </c>
      <c r="L182" s="12"/>
      <c r="M182">
        <v>10.8</v>
      </c>
      <c r="N182">
        <v>10</v>
      </c>
      <c r="O182">
        <v>86</v>
      </c>
      <c r="P182">
        <v>85.2</v>
      </c>
      <c r="Q182">
        <f t="shared" si="83"/>
        <v>0.80000000000000071</v>
      </c>
      <c r="R182" s="13">
        <f t="shared" si="92"/>
        <v>0.79999999999999716</v>
      </c>
      <c r="V182" s="12"/>
      <c r="W182">
        <v>10.8</v>
      </c>
      <c r="X182">
        <v>10.5</v>
      </c>
      <c r="Y182">
        <v>86</v>
      </c>
      <c r="Z182">
        <v>87.9</v>
      </c>
      <c r="AA182">
        <f t="shared" si="85"/>
        <v>0.30000000000000071</v>
      </c>
      <c r="AB182" s="13">
        <f t="shared" si="93"/>
        <v>1.9000000000000057</v>
      </c>
      <c r="AG182" s="12"/>
      <c r="AH182">
        <v>10.8</v>
      </c>
      <c r="AJ182">
        <v>86</v>
      </c>
      <c r="AM182" s="13"/>
      <c r="AR182" s="12"/>
      <c r="AS182">
        <v>10.8</v>
      </c>
      <c r="AT182">
        <v>10.6</v>
      </c>
      <c r="AU182">
        <v>86</v>
      </c>
      <c r="AV182">
        <v>83.8</v>
      </c>
      <c r="AW182">
        <f t="shared" ref="AW182:AW192" si="99">ABS(AS182-AT182)</f>
        <v>0.20000000000000107</v>
      </c>
      <c r="AX182" s="13">
        <f t="shared" ref="AX182:AX192" si="100">ABS(AV182-AU182)</f>
        <v>2.2000000000000028</v>
      </c>
      <c r="BC182" s="12"/>
      <c r="BD182">
        <v>10.8</v>
      </c>
      <c r="BF182">
        <v>86</v>
      </c>
      <c r="BH182">
        <f t="shared" ref="BH182:BH192" si="101">ABS(BD182-BE182)</f>
        <v>10.8</v>
      </c>
      <c r="BI182" s="13">
        <f t="shared" ref="BI182:BI192" si="102">ABS(BG182-BF182)</f>
        <v>86</v>
      </c>
    </row>
    <row r="183" spans="2:61" x14ac:dyDescent="0.25">
      <c r="B183" s="12"/>
      <c r="C183">
        <v>9.4</v>
      </c>
      <c r="D183">
        <v>9.1999999999999993</v>
      </c>
      <c r="E183">
        <v>74</v>
      </c>
      <c r="F183">
        <v>71.7</v>
      </c>
      <c r="G183">
        <f t="shared" si="81"/>
        <v>0.20000000000000107</v>
      </c>
      <c r="H183" s="13">
        <f t="shared" si="98"/>
        <v>2.2999999999999972</v>
      </c>
      <c r="L183" s="12"/>
      <c r="M183">
        <v>9.4</v>
      </c>
      <c r="N183">
        <v>9.6</v>
      </c>
      <c r="O183">
        <v>74</v>
      </c>
      <c r="P183">
        <v>50.4</v>
      </c>
      <c r="Q183">
        <f t="shared" si="83"/>
        <v>0.19999999999999929</v>
      </c>
      <c r="R183" s="13">
        <f t="shared" si="92"/>
        <v>23.6</v>
      </c>
      <c r="V183" s="12"/>
      <c r="W183">
        <v>9.4</v>
      </c>
      <c r="X183">
        <v>9.4</v>
      </c>
      <c r="Y183">
        <v>74</v>
      </c>
      <c r="Z183">
        <v>87.6</v>
      </c>
      <c r="AA183">
        <f t="shared" si="85"/>
        <v>0</v>
      </c>
      <c r="AB183" s="13">
        <f t="shared" si="93"/>
        <v>13.599999999999994</v>
      </c>
      <c r="AG183" s="12"/>
      <c r="AH183">
        <v>9.4</v>
      </c>
      <c r="AJ183">
        <v>74</v>
      </c>
      <c r="AM183" s="13"/>
      <c r="AR183" s="12"/>
      <c r="AS183">
        <v>9.4</v>
      </c>
      <c r="AT183">
        <v>9.4</v>
      </c>
      <c r="AU183">
        <v>74</v>
      </c>
      <c r="AV183">
        <v>67.5</v>
      </c>
      <c r="AW183">
        <f t="shared" si="99"/>
        <v>0</v>
      </c>
      <c r="AX183" s="13">
        <f t="shared" si="100"/>
        <v>6.5</v>
      </c>
      <c r="BC183" s="12"/>
      <c r="BD183">
        <v>9.4</v>
      </c>
      <c r="BF183">
        <v>74</v>
      </c>
      <c r="BH183">
        <f t="shared" si="101"/>
        <v>9.4</v>
      </c>
      <c r="BI183" s="13">
        <f t="shared" si="102"/>
        <v>74</v>
      </c>
    </row>
    <row r="184" spans="2:61" x14ac:dyDescent="0.25">
      <c r="B184" s="6"/>
      <c r="C184" s="7">
        <v>11.8</v>
      </c>
      <c r="D184" s="7">
        <v>11</v>
      </c>
      <c r="E184" s="7">
        <v>66</v>
      </c>
      <c r="F184" s="7">
        <v>67.099999999999994</v>
      </c>
      <c r="G184">
        <f t="shared" si="81"/>
        <v>0.80000000000000071</v>
      </c>
      <c r="H184" s="13">
        <f>ABS(F184-E184)</f>
        <v>1.0999999999999943</v>
      </c>
      <c r="L184" s="6"/>
      <c r="M184" s="7">
        <v>11.8</v>
      </c>
      <c r="N184" s="7">
        <v>9.6</v>
      </c>
      <c r="O184" s="7">
        <v>66</v>
      </c>
      <c r="P184" s="7">
        <v>63.6</v>
      </c>
      <c r="Q184" s="7">
        <f t="shared" si="83"/>
        <v>2.2000000000000011</v>
      </c>
      <c r="R184" s="8">
        <f t="shared" si="92"/>
        <v>2.3999999999999986</v>
      </c>
      <c r="V184" s="6"/>
      <c r="W184" s="7">
        <v>11.8</v>
      </c>
      <c r="X184" s="7">
        <v>10.5</v>
      </c>
      <c r="Y184" s="7">
        <v>66</v>
      </c>
      <c r="Z184" s="7">
        <v>83.2</v>
      </c>
      <c r="AA184" s="7">
        <f t="shared" si="85"/>
        <v>1.3000000000000007</v>
      </c>
      <c r="AB184" s="8">
        <f t="shared" si="93"/>
        <v>17.200000000000003</v>
      </c>
      <c r="AG184" s="6"/>
      <c r="AH184" s="7">
        <v>11.8</v>
      </c>
      <c r="AI184" s="7"/>
      <c r="AJ184" s="7">
        <v>66</v>
      </c>
      <c r="AK184" s="7"/>
      <c r="AL184" s="7"/>
      <c r="AM184" s="8"/>
      <c r="AR184" s="6"/>
      <c r="AS184" s="7">
        <v>11.8</v>
      </c>
      <c r="AT184" s="7">
        <v>11.2</v>
      </c>
      <c r="AU184" s="7">
        <v>66</v>
      </c>
      <c r="AV184" s="7">
        <v>62.4</v>
      </c>
      <c r="AW184" s="7">
        <f t="shared" si="99"/>
        <v>0.60000000000000142</v>
      </c>
      <c r="AX184" s="8">
        <f t="shared" si="100"/>
        <v>3.6000000000000014</v>
      </c>
      <c r="BC184" s="6"/>
      <c r="BD184" s="7">
        <v>11.8</v>
      </c>
      <c r="BE184" s="7"/>
      <c r="BF184" s="7">
        <v>66</v>
      </c>
      <c r="BG184" s="7"/>
      <c r="BH184" s="7">
        <f t="shared" si="101"/>
        <v>11.8</v>
      </c>
      <c r="BI184" s="8">
        <f t="shared" si="102"/>
        <v>66</v>
      </c>
    </row>
    <row r="185" spans="2:61" x14ac:dyDescent="0.25">
      <c r="B185" s="3" t="s">
        <v>109</v>
      </c>
      <c r="C185" s="4">
        <v>13.6</v>
      </c>
      <c r="D185" s="4">
        <v>11.1</v>
      </c>
      <c r="E185" s="4">
        <v>99</v>
      </c>
      <c r="F185" s="4">
        <v>82.7</v>
      </c>
      <c r="G185" s="4">
        <f t="shared" si="81"/>
        <v>2.5</v>
      </c>
      <c r="H185" s="5">
        <f t="shared" si="98"/>
        <v>16.299999999999997</v>
      </c>
      <c r="L185" s="3" t="s">
        <v>109</v>
      </c>
      <c r="M185" s="4">
        <v>13.6</v>
      </c>
      <c r="N185" s="4">
        <v>13.7</v>
      </c>
      <c r="O185" s="4">
        <v>99</v>
      </c>
      <c r="P185" s="4">
        <v>72</v>
      </c>
      <c r="Q185" s="4">
        <f t="shared" si="83"/>
        <v>9.9999999999999645E-2</v>
      </c>
      <c r="R185" s="5">
        <f t="shared" si="92"/>
        <v>27</v>
      </c>
      <c r="V185" s="3" t="s">
        <v>109</v>
      </c>
      <c r="W185" s="4">
        <v>13.6</v>
      </c>
      <c r="X185" s="4">
        <v>12.9</v>
      </c>
      <c r="Y185" s="4">
        <v>99</v>
      </c>
      <c r="Z185" s="4">
        <v>85.3</v>
      </c>
      <c r="AA185" s="4">
        <f t="shared" si="85"/>
        <v>0.69999999999999929</v>
      </c>
      <c r="AB185" s="5">
        <f t="shared" si="93"/>
        <v>13.700000000000003</v>
      </c>
      <c r="AG185" s="3" t="s">
        <v>109</v>
      </c>
      <c r="AH185" s="4">
        <v>13.6</v>
      </c>
      <c r="AI185" s="4"/>
      <c r="AJ185" s="4">
        <v>99</v>
      </c>
      <c r="AK185" s="4"/>
      <c r="AL185" s="4"/>
      <c r="AM185" s="5"/>
      <c r="AR185" s="3" t="s">
        <v>109</v>
      </c>
      <c r="AS185" s="4">
        <v>13.6</v>
      </c>
      <c r="AT185" s="4">
        <v>13.4</v>
      </c>
      <c r="AU185" s="4">
        <v>99</v>
      </c>
      <c r="AV185" s="4">
        <v>85.2</v>
      </c>
      <c r="AW185" s="4">
        <f t="shared" si="99"/>
        <v>0.19999999999999929</v>
      </c>
      <c r="AX185" s="5">
        <f t="shared" si="100"/>
        <v>13.799999999999997</v>
      </c>
      <c r="BC185" s="3" t="s">
        <v>109</v>
      </c>
      <c r="BD185" s="4">
        <v>13.6</v>
      </c>
      <c r="BE185" s="4"/>
      <c r="BF185" s="4">
        <v>99</v>
      </c>
      <c r="BG185" s="4"/>
      <c r="BH185" s="4">
        <f t="shared" si="101"/>
        <v>13.6</v>
      </c>
      <c r="BI185" s="5">
        <f t="shared" si="102"/>
        <v>99</v>
      </c>
    </row>
    <row r="186" spans="2:61" x14ac:dyDescent="0.25">
      <c r="B186" s="12"/>
      <c r="C186">
        <v>11.2</v>
      </c>
      <c r="D186">
        <v>11.4</v>
      </c>
      <c r="E186">
        <v>93</v>
      </c>
      <c r="F186">
        <v>68.8</v>
      </c>
      <c r="G186">
        <f t="shared" si="81"/>
        <v>0.20000000000000107</v>
      </c>
      <c r="H186" s="13">
        <f t="shared" si="98"/>
        <v>24.200000000000003</v>
      </c>
      <c r="L186" s="12"/>
      <c r="M186">
        <v>11.2</v>
      </c>
      <c r="N186">
        <v>10.5</v>
      </c>
      <c r="O186">
        <v>93</v>
      </c>
      <c r="P186">
        <v>100.4</v>
      </c>
      <c r="Q186">
        <f t="shared" si="83"/>
        <v>0.69999999999999929</v>
      </c>
      <c r="R186" s="13">
        <f t="shared" si="92"/>
        <v>7.4000000000000057</v>
      </c>
      <c r="V186" s="12"/>
      <c r="W186">
        <v>11.2</v>
      </c>
      <c r="X186">
        <v>11.7</v>
      </c>
      <c r="Y186">
        <v>93</v>
      </c>
      <c r="Z186">
        <v>91.1</v>
      </c>
      <c r="AA186">
        <f t="shared" si="85"/>
        <v>0.5</v>
      </c>
      <c r="AB186" s="13">
        <f t="shared" si="93"/>
        <v>1.9000000000000057</v>
      </c>
      <c r="AG186" s="12"/>
      <c r="AH186">
        <v>11.2</v>
      </c>
      <c r="AJ186">
        <v>93</v>
      </c>
      <c r="AM186" s="13"/>
      <c r="AR186" s="12"/>
      <c r="AS186">
        <v>11.2</v>
      </c>
      <c r="AT186">
        <v>10.9</v>
      </c>
      <c r="AU186">
        <v>93</v>
      </c>
      <c r="AV186">
        <v>85.4</v>
      </c>
      <c r="AW186">
        <f t="shared" si="99"/>
        <v>0.29999999999999893</v>
      </c>
      <c r="AX186" s="13">
        <f t="shared" si="100"/>
        <v>7.5999999999999943</v>
      </c>
      <c r="BC186" s="12"/>
      <c r="BD186">
        <v>11.2</v>
      </c>
      <c r="BF186">
        <v>93</v>
      </c>
      <c r="BH186">
        <f t="shared" si="101"/>
        <v>11.2</v>
      </c>
      <c r="BI186" s="13">
        <f t="shared" si="102"/>
        <v>93</v>
      </c>
    </row>
    <row r="187" spans="2:61" x14ac:dyDescent="0.25">
      <c r="B187" s="12"/>
      <c r="C187">
        <v>10.8</v>
      </c>
      <c r="D187">
        <v>10.9</v>
      </c>
      <c r="E187">
        <v>78</v>
      </c>
      <c r="F187">
        <v>70.400000000000006</v>
      </c>
      <c r="G187">
        <f t="shared" si="81"/>
        <v>9.9999999999999645E-2</v>
      </c>
      <c r="H187" s="13">
        <f t="shared" si="98"/>
        <v>7.5999999999999943</v>
      </c>
      <c r="L187" s="12"/>
      <c r="M187">
        <v>10.8</v>
      </c>
      <c r="N187">
        <v>10.1</v>
      </c>
      <c r="O187">
        <v>78</v>
      </c>
      <c r="P187">
        <v>90.4</v>
      </c>
      <c r="Q187">
        <f t="shared" si="83"/>
        <v>0.70000000000000107</v>
      </c>
      <c r="R187" s="13">
        <f t="shared" si="92"/>
        <v>12.400000000000006</v>
      </c>
      <c r="V187" s="12"/>
      <c r="W187">
        <v>10.8</v>
      </c>
      <c r="X187">
        <v>11.1</v>
      </c>
      <c r="Y187">
        <v>78</v>
      </c>
      <c r="Z187">
        <v>84.4</v>
      </c>
      <c r="AA187">
        <f t="shared" si="85"/>
        <v>0.29999999999999893</v>
      </c>
      <c r="AB187" s="13">
        <f t="shared" si="93"/>
        <v>6.4000000000000057</v>
      </c>
      <c r="AG187" s="12"/>
      <c r="AH187">
        <v>10.8</v>
      </c>
      <c r="AJ187">
        <v>78</v>
      </c>
      <c r="AM187" s="13"/>
      <c r="AR187" s="12"/>
      <c r="AS187">
        <v>10.8</v>
      </c>
      <c r="AT187">
        <v>10.199999999999999</v>
      </c>
      <c r="AU187">
        <v>78</v>
      </c>
      <c r="AV187">
        <v>78.8</v>
      </c>
      <c r="AW187">
        <f t="shared" si="99"/>
        <v>0.60000000000000142</v>
      </c>
      <c r="AX187" s="13">
        <f t="shared" si="100"/>
        <v>0.79999999999999716</v>
      </c>
      <c r="BC187" s="12"/>
      <c r="BD187">
        <v>10.8</v>
      </c>
      <c r="BF187">
        <v>78</v>
      </c>
      <c r="BH187">
        <f t="shared" si="101"/>
        <v>10.8</v>
      </c>
      <c r="BI187" s="13">
        <f t="shared" si="102"/>
        <v>78</v>
      </c>
    </row>
    <row r="188" spans="2:61" x14ac:dyDescent="0.25">
      <c r="B188" s="6"/>
      <c r="C188" s="7">
        <v>12.4</v>
      </c>
      <c r="D188" s="7">
        <v>10.6</v>
      </c>
      <c r="E188" s="7">
        <v>64</v>
      </c>
      <c r="F188" s="7">
        <v>72.599999999999994</v>
      </c>
      <c r="G188" s="7">
        <f t="shared" si="81"/>
        <v>1.8000000000000007</v>
      </c>
      <c r="H188" s="8">
        <f t="shared" si="98"/>
        <v>8.5999999999999943</v>
      </c>
      <c r="L188" s="6"/>
      <c r="M188" s="7">
        <v>12.4</v>
      </c>
      <c r="N188" s="7">
        <v>10.199999999999999</v>
      </c>
      <c r="O188" s="7">
        <v>64</v>
      </c>
      <c r="P188" s="7">
        <v>89.2</v>
      </c>
      <c r="Q188" s="7">
        <f t="shared" si="83"/>
        <v>2.2000000000000011</v>
      </c>
      <c r="R188" s="8">
        <f t="shared" si="92"/>
        <v>25.200000000000003</v>
      </c>
      <c r="V188" s="6"/>
      <c r="W188" s="7">
        <v>12.4</v>
      </c>
      <c r="X188" s="7">
        <v>10.8</v>
      </c>
      <c r="Y188" s="7">
        <v>64</v>
      </c>
      <c r="Z188" s="7">
        <v>88.5</v>
      </c>
      <c r="AA188" s="7">
        <f t="shared" si="85"/>
        <v>1.5999999999999996</v>
      </c>
      <c r="AB188" s="8">
        <f t="shared" si="93"/>
        <v>24.5</v>
      </c>
      <c r="AG188" s="6"/>
      <c r="AH188" s="7">
        <v>12.4</v>
      </c>
      <c r="AI188" s="7"/>
      <c r="AJ188" s="7">
        <v>64</v>
      </c>
      <c r="AK188" s="7"/>
      <c r="AL188" s="7"/>
      <c r="AM188" s="8"/>
      <c r="AR188" s="6"/>
      <c r="AS188" s="7">
        <v>12.4</v>
      </c>
      <c r="AT188" s="7">
        <v>12</v>
      </c>
      <c r="AU188" s="7">
        <v>64</v>
      </c>
      <c r="AV188" s="7">
        <v>63.6</v>
      </c>
      <c r="AW188" s="7">
        <f t="shared" si="99"/>
        <v>0.40000000000000036</v>
      </c>
      <c r="AX188" s="8">
        <f t="shared" si="100"/>
        <v>0.39999999999999858</v>
      </c>
      <c r="BC188" s="6"/>
      <c r="BD188" s="7">
        <v>12.4</v>
      </c>
      <c r="BE188" s="7"/>
      <c r="BF188" s="7">
        <v>64</v>
      </c>
      <c r="BG188" s="7"/>
      <c r="BH188" s="7">
        <f t="shared" si="101"/>
        <v>12.4</v>
      </c>
      <c r="BI188" s="8">
        <f t="shared" si="102"/>
        <v>64</v>
      </c>
    </row>
    <row r="189" spans="2:61" x14ac:dyDescent="0.25">
      <c r="B189" s="3" t="s">
        <v>110</v>
      </c>
      <c r="C189" s="4">
        <v>15</v>
      </c>
      <c r="D189" s="4">
        <v>14.6</v>
      </c>
      <c r="E189" s="4">
        <v>89</v>
      </c>
      <c r="F189" s="4">
        <v>79.599999999999994</v>
      </c>
      <c r="G189" s="4">
        <f t="shared" si="81"/>
        <v>0.40000000000000036</v>
      </c>
      <c r="H189" s="5">
        <f t="shared" si="98"/>
        <v>9.4000000000000057</v>
      </c>
      <c r="L189" s="3" t="s">
        <v>110</v>
      </c>
      <c r="M189" s="4">
        <v>15</v>
      </c>
      <c r="N189" s="4">
        <v>14.5</v>
      </c>
      <c r="O189" s="4">
        <v>89</v>
      </c>
      <c r="P189" s="4">
        <v>101.6</v>
      </c>
      <c r="Q189" s="4">
        <f t="shared" si="83"/>
        <v>0.5</v>
      </c>
      <c r="R189" s="5">
        <f t="shared" si="92"/>
        <v>12.599999999999994</v>
      </c>
      <c r="V189" s="3" t="s">
        <v>110</v>
      </c>
      <c r="W189" s="4">
        <v>15</v>
      </c>
      <c r="X189" s="4">
        <v>14.1</v>
      </c>
      <c r="Y189" s="4">
        <v>89</v>
      </c>
      <c r="Z189" s="4">
        <v>97.6</v>
      </c>
      <c r="AA189" s="4">
        <f t="shared" si="85"/>
        <v>0.90000000000000036</v>
      </c>
      <c r="AB189" s="5">
        <f t="shared" si="93"/>
        <v>8.5999999999999943</v>
      </c>
      <c r="AG189" s="3" t="s">
        <v>110</v>
      </c>
      <c r="AH189" s="4">
        <v>15</v>
      </c>
      <c r="AI189" s="4"/>
      <c r="AJ189" s="4">
        <v>89</v>
      </c>
      <c r="AK189" s="4"/>
      <c r="AL189" s="4"/>
      <c r="AM189" s="5"/>
      <c r="AR189" s="3" t="s">
        <v>110</v>
      </c>
      <c r="AS189" s="4">
        <v>15</v>
      </c>
      <c r="AT189" s="4">
        <v>14.6</v>
      </c>
      <c r="AU189" s="4">
        <v>89</v>
      </c>
      <c r="AV189" s="4">
        <v>62.6</v>
      </c>
      <c r="AW189" s="4">
        <f t="shared" si="99"/>
        <v>0.40000000000000036</v>
      </c>
      <c r="AX189" s="5">
        <f t="shared" si="100"/>
        <v>26.4</v>
      </c>
      <c r="BC189" s="3" t="s">
        <v>110</v>
      </c>
      <c r="BD189" s="4">
        <v>15</v>
      </c>
      <c r="BE189" s="4"/>
      <c r="BF189" s="4">
        <v>89</v>
      </c>
      <c r="BG189" s="4"/>
      <c r="BH189" s="4">
        <f t="shared" si="101"/>
        <v>15</v>
      </c>
      <c r="BI189" s="5">
        <f t="shared" si="102"/>
        <v>89</v>
      </c>
    </row>
    <row r="190" spans="2:61" x14ac:dyDescent="0.25">
      <c r="B190" s="12"/>
      <c r="C190">
        <v>12</v>
      </c>
      <c r="D190">
        <v>11.9</v>
      </c>
      <c r="E190">
        <v>94</v>
      </c>
      <c r="F190">
        <v>70.8</v>
      </c>
      <c r="G190">
        <f t="shared" si="81"/>
        <v>9.9999999999999645E-2</v>
      </c>
      <c r="H190" s="13">
        <f>ABS(F190-E190)</f>
        <v>23.200000000000003</v>
      </c>
      <c r="L190" s="12"/>
      <c r="M190">
        <v>12</v>
      </c>
      <c r="N190">
        <v>11.3</v>
      </c>
      <c r="O190">
        <v>94</v>
      </c>
      <c r="P190">
        <v>92.4</v>
      </c>
      <c r="Q190">
        <f t="shared" si="83"/>
        <v>0.69999999999999929</v>
      </c>
      <c r="R190" s="13">
        <f t="shared" si="92"/>
        <v>1.5999999999999943</v>
      </c>
      <c r="V190" s="12"/>
      <c r="W190">
        <v>12</v>
      </c>
      <c r="X190">
        <v>11.7</v>
      </c>
      <c r="Y190">
        <v>94</v>
      </c>
      <c r="Z190">
        <v>90.8</v>
      </c>
      <c r="AA190">
        <f t="shared" si="85"/>
        <v>0.30000000000000071</v>
      </c>
      <c r="AB190" s="13">
        <f t="shared" si="93"/>
        <v>3.2000000000000028</v>
      </c>
      <c r="AG190" s="12"/>
      <c r="AH190">
        <v>12</v>
      </c>
      <c r="AJ190">
        <v>94</v>
      </c>
      <c r="AM190" s="13"/>
      <c r="AR190" s="12"/>
      <c r="AS190">
        <v>12</v>
      </c>
      <c r="AT190">
        <v>11.2</v>
      </c>
      <c r="AU190">
        <v>94</v>
      </c>
      <c r="AV190">
        <v>60.2</v>
      </c>
      <c r="AW190">
        <f t="shared" si="99"/>
        <v>0.80000000000000071</v>
      </c>
      <c r="AX190" s="13">
        <f t="shared" si="100"/>
        <v>33.799999999999997</v>
      </c>
      <c r="BC190" s="12"/>
      <c r="BD190">
        <v>12</v>
      </c>
      <c r="BF190">
        <v>94</v>
      </c>
      <c r="BH190">
        <f t="shared" si="101"/>
        <v>12</v>
      </c>
      <c r="BI190" s="13">
        <f t="shared" si="102"/>
        <v>94</v>
      </c>
    </row>
    <row r="191" spans="2:61" x14ac:dyDescent="0.25">
      <c r="B191" s="12"/>
      <c r="C191">
        <v>9</v>
      </c>
      <c r="D191">
        <v>8.6999999999999993</v>
      </c>
      <c r="E191">
        <v>71</v>
      </c>
      <c r="F191">
        <v>69.099999999999994</v>
      </c>
      <c r="G191">
        <f t="shared" si="81"/>
        <v>0.30000000000000071</v>
      </c>
      <c r="H191" s="13">
        <f t="shared" si="98"/>
        <v>1.9000000000000057</v>
      </c>
      <c r="L191" s="12"/>
      <c r="M191">
        <v>9</v>
      </c>
      <c r="N191">
        <v>9.4</v>
      </c>
      <c r="O191">
        <v>71</v>
      </c>
      <c r="P191">
        <v>94.4</v>
      </c>
      <c r="Q191">
        <f t="shared" si="83"/>
        <v>0.40000000000000036</v>
      </c>
      <c r="R191" s="13">
        <f t="shared" si="92"/>
        <v>23.400000000000006</v>
      </c>
      <c r="V191" s="12"/>
      <c r="W191">
        <v>9</v>
      </c>
      <c r="X191">
        <v>9.4</v>
      </c>
      <c r="Y191">
        <v>71</v>
      </c>
      <c r="Z191">
        <v>80</v>
      </c>
      <c r="AA191">
        <f t="shared" si="85"/>
        <v>0.40000000000000036</v>
      </c>
      <c r="AB191" s="13">
        <f t="shared" si="93"/>
        <v>9</v>
      </c>
      <c r="AG191" s="12"/>
      <c r="AH191">
        <v>9</v>
      </c>
      <c r="AJ191">
        <v>71</v>
      </c>
      <c r="AM191" s="13"/>
      <c r="AR191" s="12"/>
      <c r="AS191">
        <v>9</v>
      </c>
      <c r="AT191">
        <v>8.8000000000000007</v>
      </c>
      <c r="AU191">
        <v>71</v>
      </c>
      <c r="AV191">
        <v>65.599999999999994</v>
      </c>
      <c r="AW191">
        <f t="shared" si="99"/>
        <v>0.19999999999999929</v>
      </c>
      <c r="AX191" s="13">
        <f t="shared" si="100"/>
        <v>5.4000000000000057</v>
      </c>
      <c r="BC191" s="12"/>
      <c r="BD191">
        <v>9</v>
      </c>
      <c r="BF191">
        <v>71</v>
      </c>
      <c r="BH191">
        <f t="shared" si="101"/>
        <v>9</v>
      </c>
      <c r="BI191" s="13">
        <f t="shared" si="102"/>
        <v>71</v>
      </c>
    </row>
    <row r="192" spans="2:61" x14ac:dyDescent="0.25">
      <c r="B192" s="6"/>
      <c r="C192" s="7">
        <v>11.9</v>
      </c>
      <c r="D192" s="7">
        <v>10.7</v>
      </c>
      <c r="E192" s="7">
        <v>66</v>
      </c>
      <c r="F192" s="7">
        <v>68.8</v>
      </c>
      <c r="G192" s="7">
        <f>ABS(C192-D192)</f>
        <v>1.2000000000000011</v>
      </c>
      <c r="H192" s="8">
        <f t="shared" si="98"/>
        <v>2.7999999999999972</v>
      </c>
      <c r="L192" s="6"/>
      <c r="M192" s="7">
        <v>11.9</v>
      </c>
      <c r="N192" s="7">
        <v>10.3</v>
      </c>
      <c r="O192" s="7">
        <v>66</v>
      </c>
      <c r="P192" s="7">
        <v>49.2</v>
      </c>
      <c r="Q192" s="7">
        <f t="shared" si="83"/>
        <v>1.5999999999999996</v>
      </c>
      <c r="R192" s="8">
        <f t="shared" si="92"/>
        <v>16.799999999999997</v>
      </c>
      <c r="V192" s="6"/>
      <c r="W192" s="7">
        <v>11.9</v>
      </c>
      <c r="X192" s="7">
        <v>11.4</v>
      </c>
      <c r="Y192" s="7">
        <v>66</v>
      </c>
      <c r="Z192" s="7">
        <v>82.9</v>
      </c>
      <c r="AA192" s="7">
        <f t="shared" si="85"/>
        <v>0.5</v>
      </c>
      <c r="AB192" s="8">
        <f t="shared" si="93"/>
        <v>16.900000000000006</v>
      </c>
      <c r="AG192" s="6"/>
      <c r="AH192" s="7">
        <v>11.9</v>
      </c>
      <c r="AI192" s="7"/>
      <c r="AJ192" s="7">
        <v>66</v>
      </c>
      <c r="AK192" s="7"/>
      <c r="AL192" s="7"/>
      <c r="AM192" s="8"/>
      <c r="AR192" s="6"/>
      <c r="AS192" s="7">
        <v>11.9</v>
      </c>
      <c r="AT192" s="7">
        <v>11.9</v>
      </c>
      <c r="AU192" s="7">
        <v>66</v>
      </c>
      <c r="AV192" s="7">
        <v>64.2</v>
      </c>
      <c r="AW192" s="7">
        <f t="shared" si="99"/>
        <v>0</v>
      </c>
      <c r="AX192" s="8">
        <f t="shared" si="100"/>
        <v>1.7999999999999972</v>
      </c>
      <c r="BC192" s="6"/>
      <c r="BD192" s="7">
        <v>11.9</v>
      </c>
      <c r="BE192" s="7"/>
      <c r="BF192" s="7">
        <v>66</v>
      </c>
      <c r="BG192" s="7"/>
      <c r="BH192" s="7">
        <f t="shared" si="101"/>
        <v>11.9</v>
      </c>
      <c r="BI192" s="8">
        <f t="shared" si="102"/>
        <v>66</v>
      </c>
    </row>
    <row r="193" spans="2:66" x14ac:dyDescent="0.25">
      <c r="G193">
        <f>AVERAGE(G2:G192)</f>
        <v>0.74607329842931969</v>
      </c>
      <c r="H193">
        <f>AVERAGE(H2:H192)</f>
        <v>17.962303664921457</v>
      </c>
      <c r="Q193">
        <f>AVERAGE(Q2:Q192)</f>
        <v>0.73193717277486892</v>
      </c>
      <c r="R193">
        <f>AVERAGE(R2:R192)</f>
        <v>19.900000000000009</v>
      </c>
      <c r="AA193">
        <f>AVERAGE(AA2:AA192)</f>
        <v>0.96335078534031404</v>
      </c>
      <c r="AB193">
        <f>AVERAGE(AB2:AB192)</f>
        <v>10.831937172774866</v>
      </c>
      <c r="AW193">
        <f>AVERAGE(AW2:AW192)</f>
        <v>0.67329842931937156</v>
      </c>
      <c r="AX193">
        <f>AVERAGE(AX2:AX192)</f>
        <v>18.813612565445041</v>
      </c>
      <c r="BH193">
        <f>AVERAGE(BH2:BH192)</f>
        <v>6.9184293193717306</v>
      </c>
      <c r="BI193">
        <f>AVERAGE(BI2:BI192)</f>
        <v>53.01853403141363</v>
      </c>
    </row>
    <row r="194" spans="2:66" x14ac:dyDescent="0.25">
      <c r="BN194" s="2"/>
    </row>
    <row r="195" spans="2:66" x14ac:dyDescent="0.25">
      <c r="C195" s="1" t="s">
        <v>112</v>
      </c>
      <c r="D195" s="1" t="s">
        <v>113</v>
      </c>
      <c r="E195" s="1" t="s">
        <v>124</v>
      </c>
      <c r="M195" s="1" t="s">
        <v>112</v>
      </c>
      <c r="N195" s="1" t="s">
        <v>113</v>
      </c>
      <c r="O195" s="1" t="s">
        <v>124</v>
      </c>
      <c r="W195" s="1" t="s">
        <v>112</v>
      </c>
      <c r="X195" s="1" t="s">
        <v>113</v>
      </c>
      <c r="Y195" s="1" t="s">
        <v>124</v>
      </c>
      <c r="AH195" s="1" t="s">
        <v>112</v>
      </c>
      <c r="AI195" s="1" t="s">
        <v>113</v>
      </c>
      <c r="AJ195" s="1" t="s">
        <v>124</v>
      </c>
      <c r="AS195" s="1" t="s">
        <v>112</v>
      </c>
      <c r="AT195" s="1" t="s">
        <v>113</v>
      </c>
      <c r="AU195" s="1" t="s">
        <v>124</v>
      </c>
      <c r="BD195" s="1" t="s">
        <v>112</v>
      </c>
      <c r="BE195" s="1" t="s">
        <v>113</v>
      </c>
      <c r="BF195" s="1" t="s">
        <v>124</v>
      </c>
    </row>
    <row r="196" spans="2:66" x14ac:dyDescent="0.25">
      <c r="B196" t="s">
        <v>114</v>
      </c>
      <c r="C196">
        <v>90</v>
      </c>
      <c r="D196">
        <v>89.1</v>
      </c>
      <c r="E196">
        <f>ABS(C196-D196)</f>
        <v>0.90000000000000568</v>
      </c>
      <c r="L196" t="s">
        <v>114</v>
      </c>
      <c r="M196">
        <v>90</v>
      </c>
      <c r="N196">
        <v>91.6</v>
      </c>
      <c r="O196">
        <f>ABS(M196-N196)</f>
        <v>1.5999999999999943</v>
      </c>
      <c r="V196" t="s">
        <v>114</v>
      </c>
      <c r="W196">
        <v>90</v>
      </c>
      <c r="X196">
        <v>89.6</v>
      </c>
      <c r="Y196">
        <f>ABS(W196-X196)</f>
        <v>0.40000000000000568</v>
      </c>
      <c r="AG196" t="s">
        <v>114</v>
      </c>
      <c r="AH196">
        <v>90</v>
      </c>
      <c r="AI196">
        <v>89.5</v>
      </c>
      <c r="AJ196">
        <f>ABS(AH196-AI196)</f>
        <v>0.5</v>
      </c>
      <c r="AR196" t="s">
        <v>114</v>
      </c>
      <c r="AS196">
        <v>90</v>
      </c>
      <c r="AT196">
        <v>91.7</v>
      </c>
      <c r="AU196">
        <f>ABS(AS196-AT196)</f>
        <v>1.7000000000000028</v>
      </c>
      <c r="BC196" t="s">
        <v>114</v>
      </c>
      <c r="BD196">
        <v>90</v>
      </c>
      <c r="BE196">
        <v>87.3</v>
      </c>
      <c r="BF196">
        <f>ABS(BD196-BE196)</f>
        <v>2.7000000000000028</v>
      </c>
    </row>
    <row r="197" spans="2:66" x14ac:dyDescent="0.25">
      <c r="B197" t="s">
        <v>115</v>
      </c>
      <c r="C197">
        <v>92</v>
      </c>
      <c r="D197">
        <v>71.2</v>
      </c>
      <c r="E197">
        <f t="shared" ref="E197:E205" si="103">ABS(C197-D197)</f>
        <v>20.799999999999997</v>
      </c>
      <c r="L197" t="s">
        <v>115</v>
      </c>
      <c r="M197">
        <v>92</v>
      </c>
      <c r="N197">
        <v>91.6</v>
      </c>
      <c r="O197">
        <f t="shared" ref="O197:O205" si="104">ABS(M197-N197)</f>
        <v>0.40000000000000568</v>
      </c>
      <c r="V197" t="s">
        <v>115</v>
      </c>
      <c r="W197">
        <v>92</v>
      </c>
      <c r="X197">
        <v>91.4</v>
      </c>
      <c r="Y197">
        <f t="shared" ref="Y197:Y205" si="105">ABS(W197-X197)</f>
        <v>0.59999999999999432</v>
      </c>
      <c r="AG197" t="s">
        <v>115</v>
      </c>
      <c r="AH197">
        <v>92</v>
      </c>
      <c r="AI197">
        <v>195.2</v>
      </c>
      <c r="AJ197">
        <f t="shared" ref="AJ197:AJ205" si="106">ABS(AH197-AI197)</f>
        <v>103.19999999999999</v>
      </c>
      <c r="AR197" t="s">
        <v>115</v>
      </c>
      <c r="AS197">
        <v>92</v>
      </c>
      <c r="AT197">
        <v>84.8</v>
      </c>
      <c r="AU197">
        <f t="shared" ref="AU197:AU205" si="107">ABS(AS197-AT197)</f>
        <v>7.2000000000000028</v>
      </c>
      <c r="BC197" t="s">
        <v>115</v>
      </c>
      <c r="BD197">
        <v>92</v>
      </c>
      <c r="BE197">
        <v>91.7</v>
      </c>
      <c r="BF197">
        <f t="shared" ref="BF197:BF205" si="108">ABS(BD197-BE197)</f>
        <v>0.29999999999999716</v>
      </c>
    </row>
    <row r="198" spans="2:66" x14ac:dyDescent="0.25">
      <c r="B198" t="s">
        <v>116</v>
      </c>
      <c r="C198">
        <v>70</v>
      </c>
      <c r="D198">
        <v>71.3</v>
      </c>
      <c r="E198">
        <f t="shared" si="103"/>
        <v>1.2999999999999972</v>
      </c>
      <c r="L198" t="s">
        <v>116</v>
      </c>
      <c r="M198">
        <v>70</v>
      </c>
      <c r="N198">
        <v>71.599999999999994</v>
      </c>
      <c r="O198">
        <f t="shared" si="104"/>
        <v>1.5999999999999943</v>
      </c>
      <c r="V198" t="s">
        <v>116</v>
      </c>
      <c r="W198">
        <v>70</v>
      </c>
      <c r="X198">
        <v>78.8</v>
      </c>
      <c r="Y198">
        <f t="shared" si="105"/>
        <v>8.7999999999999972</v>
      </c>
      <c r="AG198" t="s">
        <v>116</v>
      </c>
      <c r="AH198">
        <v>70</v>
      </c>
      <c r="AI198">
        <v>70.900000000000006</v>
      </c>
      <c r="AJ198">
        <f t="shared" si="106"/>
        <v>0.90000000000000568</v>
      </c>
      <c r="AR198" t="s">
        <v>116</v>
      </c>
      <c r="AS198">
        <v>70</v>
      </c>
      <c r="AT198">
        <v>71.599999999999994</v>
      </c>
      <c r="AU198">
        <f t="shared" si="107"/>
        <v>1.5999999999999943</v>
      </c>
      <c r="BC198" t="s">
        <v>116</v>
      </c>
      <c r="BD198">
        <v>70</v>
      </c>
      <c r="BE198">
        <v>71.5</v>
      </c>
      <c r="BF198">
        <f t="shared" si="108"/>
        <v>1.5</v>
      </c>
    </row>
    <row r="199" spans="2:66" x14ac:dyDescent="0.25">
      <c r="B199" t="s">
        <v>117</v>
      </c>
      <c r="C199">
        <v>104</v>
      </c>
      <c r="D199">
        <v>94.2</v>
      </c>
      <c r="E199">
        <f t="shared" si="103"/>
        <v>9.7999999999999972</v>
      </c>
      <c r="L199" t="s">
        <v>117</v>
      </c>
      <c r="M199">
        <v>104</v>
      </c>
      <c r="N199">
        <v>101.6</v>
      </c>
      <c r="O199">
        <f t="shared" si="104"/>
        <v>2.4000000000000057</v>
      </c>
      <c r="V199" t="s">
        <v>117</v>
      </c>
      <c r="W199">
        <v>104</v>
      </c>
      <c r="X199">
        <v>103.1</v>
      </c>
      <c r="Y199">
        <f t="shared" si="105"/>
        <v>0.90000000000000568</v>
      </c>
      <c r="AG199" t="s">
        <v>117</v>
      </c>
      <c r="AH199">
        <v>104</v>
      </c>
      <c r="AI199">
        <v>103.3</v>
      </c>
      <c r="AJ199">
        <f t="shared" si="106"/>
        <v>0.70000000000000284</v>
      </c>
      <c r="AR199" t="s">
        <v>117</v>
      </c>
      <c r="AS199">
        <v>104</v>
      </c>
      <c r="AT199">
        <v>103.2</v>
      </c>
      <c r="AU199">
        <f t="shared" si="107"/>
        <v>0.79999999999999716</v>
      </c>
      <c r="BC199" t="s">
        <v>117</v>
      </c>
      <c r="BD199">
        <v>104</v>
      </c>
      <c r="BE199">
        <v>101.7</v>
      </c>
      <c r="BF199">
        <f t="shared" si="108"/>
        <v>2.2999999999999972</v>
      </c>
    </row>
    <row r="200" spans="2:66" x14ac:dyDescent="0.25">
      <c r="B200" t="s">
        <v>118</v>
      </c>
      <c r="C200">
        <v>98</v>
      </c>
      <c r="D200">
        <v>94.9</v>
      </c>
      <c r="E200">
        <f t="shared" si="103"/>
        <v>3.0999999999999943</v>
      </c>
      <c r="L200" t="s">
        <v>118</v>
      </c>
      <c r="M200">
        <v>98</v>
      </c>
      <c r="N200">
        <v>98</v>
      </c>
      <c r="O200">
        <f t="shared" si="104"/>
        <v>0</v>
      </c>
      <c r="V200" t="s">
        <v>118</v>
      </c>
      <c r="W200">
        <v>98</v>
      </c>
      <c r="X200">
        <v>98.4</v>
      </c>
      <c r="Y200">
        <f t="shared" si="105"/>
        <v>0.40000000000000568</v>
      </c>
      <c r="AG200" t="s">
        <v>118</v>
      </c>
      <c r="AH200">
        <v>98</v>
      </c>
      <c r="AI200">
        <v>97.9</v>
      </c>
      <c r="AJ200">
        <f t="shared" si="106"/>
        <v>9.9999999999994316E-2</v>
      </c>
      <c r="AR200" t="s">
        <v>118</v>
      </c>
      <c r="AS200">
        <v>98</v>
      </c>
      <c r="AT200">
        <v>98</v>
      </c>
      <c r="AU200">
        <f t="shared" si="107"/>
        <v>0</v>
      </c>
      <c r="BC200" s="25" t="s">
        <v>118</v>
      </c>
      <c r="BD200" s="25">
        <v>98</v>
      </c>
      <c r="BE200" s="25">
        <v>60.84</v>
      </c>
      <c r="BF200" s="25">
        <f t="shared" si="108"/>
        <v>37.159999999999997</v>
      </c>
    </row>
    <row r="201" spans="2:66" x14ac:dyDescent="0.25">
      <c r="B201" t="s">
        <v>119</v>
      </c>
      <c r="C201">
        <v>96</v>
      </c>
      <c r="D201">
        <v>92.7</v>
      </c>
      <c r="E201">
        <f t="shared" si="103"/>
        <v>3.2999999999999972</v>
      </c>
      <c r="L201" t="s">
        <v>119</v>
      </c>
      <c r="M201">
        <v>96</v>
      </c>
      <c r="N201">
        <v>99.2</v>
      </c>
      <c r="O201">
        <f t="shared" si="104"/>
        <v>3.2000000000000028</v>
      </c>
      <c r="V201" t="s">
        <v>119</v>
      </c>
      <c r="W201">
        <v>96</v>
      </c>
      <c r="X201">
        <v>96.1</v>
      </c>
      <c r="Y201">
        <f t="shared" si="105"/>
        <v>9.9999999999994316E-2</v>
      </c>
      <c r="AG201" t="s">
        <v>119</v>
      </c>
      <c r="AH201">
        <v>96</v>
      </c>
      <c r="AI201">
        <v>61.5</v>
      </c>
      <c r="AJ201">
        <f t="shared" si="106"/>
        <v>34.5</v>
      </c>
      <c r="AR201" t="s">
        <v>119</v>
      </c>
      <c r="AS201">
        <v>96</v>
      </c>
      <c r="AT201">
        <v>72.5</v>
      </c>
      <c r="AU201">
        <f t="shared" si="107"/>
        <v>23.5</v>
      </c>
      <c r="BC201" t="s">
        <v>119</v>
      </c>
      <c r="BD201">
        <v>96</v>
      </c>
      <c r="BE201">
        <v>99.3</v>
      </c>
      <c r="BF201">
        <f t="shared" si="108"/>
        <v>3.2999999999999972</v>
      </c>
    </row>
    <row r="202" spans="2:66" x14ac:dyDescent="0.25">
      <c r="B202" t="s">
        <v>120</v>
      </c>
      <c r="C202">
        <v>76</v>
      </c>
      <c r="D202">
        <v>73.900000000000006</v>
      </c>
      <c r="E202">
        <f t="shared" si="103"/>
        <v>2.0999999999999943</v>
      </c>
      <c r="L202" t="s">
        <v>120</v>
      </c>
      <c r="M202">
        <v>76</v>
      </c>
      <c r="N202">
        <v>73.599999999999994</v>
      </c>
      <c r="O202">
        <f t="shared" si="104"/>
        <v>2.4000000000000057</v>
      </c>
      <c r="V202" t="s">
        <v>120</v>
      </c>
      <c r="W202">
        <v>76</v>
      </c>
      <c r="X202">
        <v>76.5</v>
      </c>
      <c r="Y202">
        <f t="shared" si="105"/>
        <v>0.5</v>
      </c>
      <c r="AG202" t="s">
        <v>120</v>
      </c>
      <c r="AH202">
        <v>76</v>
      </c>
      <c r="AI202">
        <v>70.900000000000006</v>
      </c>
      <c r="AJ202">
        <f t="shared" si="106"/>
        <v>5.0999999999999943</v>
      </c>
      <c r="AR202" t="s">
        <v>120</v>
      </c>
      <c r="AS202">
        <v>76</v>
      </c>
      <c r="AT202">
        <v>73.599999999999994</v>
      </c>
      <c r="AU202">
        <f t="shared" si="107"/>
        <v>2.4000000000000057</v>
      </c>
      <c r="BC202" t="s">
        <v>120</v>
      </c>
      <c r="BD202">
        <v>76</v>
      </c>
      <c r="BE202">
        <v>73.7</v>
      </c>
      <c r="BF202">
        <f t="shared" si="108"/>
        <v>2.2999999999999972</v>
      </c>
    </row>
    <row r="203" spans="2:66" x14ac:dyDescent="0.25">
      <c r="B203" t="s">
        <v>121</v>
      </c>
      <c r="C203">
        <v>75</v>
      </c>
      <c r="D203">
        <v>73.400000000000006</v>
      </c>
      <c r="E203">
        <f t="shared" si="103"/>
        <v>1.5999999999999943</v>
      </c>
      <c r="L203" t="s">
        <v>121</v>
      </c>
      <c r="M203">
        <v>75</v>
      </c>
      <c r="N203">
        <v>75.599999999999994</v>
      </c>
      <c r="O203">
        <f t="shared" si="104"/>
        <v>0.59999999999999432</v>
      </c>
      <c r="V203" t="s">
        <v>121</v>
      </c>
      <c r="W203">
        <v>75</v>
      </c>
      <c r="X203">
        <v>75.900000000000006</v>
      </c>
      <c r="Y203">
        <f t="shared" si="105"/>
        <v>0.90000000000000568</v>
      </c>
      <c r="AG203" t="s">
        <v>121</v>
      </c>
      <c r="AH203">
        <v>75</v>
      </c>
      <c r="AI203">
        <v>73.3</v>
      </c>
      <c r="AJ203">
        <f t="shared" si="106"/>
        <v>1.7000000000000028</v>
      </c>
      <c r="AR203" t="s">
        <v>121</v>
      </c>
      <c r="AS203">
        <v>75</v>
      </c>
      <c r="AT203">
        <v>67.2</v>
      </c>
      <c r="AU203">
        <f t="shared" si="107"/>
        <v>7.7999999999999972</v>
      </c>
      <c r="BC203" t="s">
        <v>121</v>
      </c>
      <c r="BD203">
        <v>75</v>
      </c>
      <c r="BE203">
        <v>75.7</v>
      </c>
      <c r="BF203">
        <f t="shared" si="108"/>
        <v>0.70000000000000284</v>
      </c>
    </row>
    <row r="204" spans="2:66" x14ac:dyDescent="0.25">
      <c r="B204" t="s">
        <v>122</v>
      </c>
      <c r="C204">
        <v>71</v>
      </c>
      <c r="D204">
        <v>67.5</v>
      </c>
      <c r="E204">
        <f t="shared" si="103"/>
        <v>3.5</v>
      </c>
      <c r="L204" t="s">
        <v>122</v>
      </c>
      <c r="M204">
        <v>71</v>
      </c>
      <c r="N204">
        <v>67.599999999999994</v>
      </c>
      <c r="O204">
        <f t="shared" si="104"/>
        <v>3.4000000000000057</v>
      </c>
      <c r="V204" t="s">
        <v>122</v>
      </c>
      <c r="W204">
        <v>71</v>
      </c>
      <c r="X204">
        <v>83.5</v>
      </c>
      <c r="Y204">
        <f t="shared" si="105"/>
        <v>12.5</v>
      </c>
      <c r="AG204" t="s">
        <v>122</v>
      </c>
      <c r="AH204">
        <v>71</v>
      </c>
      <c r="AI204">
        <v>67.3</v>
      </c>
      <c r="AJ204">
        <f t="shared" si="106"/>
        <v>3.7000000000000028</v>
      </c>
      <c r="AR204" t="s">
        <v>122</v>
      </c>
      <c r="AS204">
        <v>71</v>
      </c>
      <c r="AT204">
        <v>67.599999999999994</v>
      </c>
      <c r="AU204">
        <f t="shared" si="107"/>
        <v>3.4000000000000057</v>
      </c>
      <c r="BC204" t="s">
        <v>122</v>
      </c>
      <c r="BD204">
        <v>71</v>
      </c>
      <c r="BE204">
        <v>67.7</v>
      </c>
      <c r="BF204">
        <f t="shared" si="108"/>
        <v>3.2999999999999972</v>
      </c>
    </row>
    <row r="205" spans="2:66" x14ac:dyDescent="0.25">
      <c r="B205" t="s">
        <v>123</v>
      </c>
      <c r="C205">
        <v>68</v>
      </c>
      <c r="D205">
        <v>70</v>
      </c>
      <c r="E205">
        <f t="shared" si="103"/>
        <v>2</v>
      </c>
      <c r="L205" t="s">
        <v>123</v>
      </c>
      <c r="M205">
        <v>68</v>
      </c>
      <c r="N205">
        <v>70</v>
      </c>
      <c r="O205">
        <f t="shared" si="104"/>
        <v>2</v>
      </c>
      <c r="V205" t="s">
        <v>123</v>
      </c>
      <c r="W205">
        <v>68</v>
      </c>
      <c r="X205">
        <v>79.599999999999994</v>
      </c>
      <c r="Y205">
        <f t="shared" si="105"/>
        <v>11.599999999999994</v>
      </c>
      <c r="AG205" t="s">
        <v>123</v>
      </c>
      <c r="AH205">
        <v>68</v>
      </c>
      <c r="AI205">
        <v>70.3</v>
      </c>
      <c r="AJ205">
        <f t="shared" si="106"/>
        <v>2.2999999999999972</v>
      </c>
      <c r="AR205" t="s">
        <v>123</v>
      </c>
      <c r="AS205">
        <v>68</v>
      </c>
      <c r="AT205">
        <v>69.3</v>
      </c>
      <c r="AU205">
        <f t="shared" si="107"/>
        <v>1.2999999999999972</v>
      </c>
      <c r="BC205" t="s">
        <v>123</v>
      </c>
      <c r="BD205">
        <v>68</v>
      </c>
      <c r="BE205">
        <v>70.099999999999994</v>
      </c>
      <c r="BF205">
        <f t="shared" si="108"/>
        <v>2.0999999999999943</v>
      </c>
    </row>
    <row r="206" spans="2:66" x14ac:dyDescent="0.25">
      <c r="E206">
        <f>AVERAGE(E196:E205)</f>
        <v>4.8399999999999981</v>
      </c>
      <c r="O206">
        <f>AVERAGE(O196:O205)</f>
        <v>1.7600000000000009</v>
      </c>
      <c r="Y206">
        <f>AVERAGE(Y196:Y205)</f>
        <v>3.6700000000000004</v>
      </c>
      <c r="AJ206">
        <f>AVERAGE(AJ196:AJ205)</f>
        <v>15.27</v>
      </c>
      <c r="AU206">
        <f>AVERAGE(AU196:AU205)</f>
        <v>4.9700000000000006</v>
      </c>
      <c r="BF206">
        <f>AVERAGE(BF196:BF205)</f>
        <v>5.5659999999999981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farina</dc:creator>
  <cp:lastModifiedBy>christian farina</cp:lastModifiedBy>
  <dcterms:created xsi:type="dcterms:W3CDTF">2015-06-05T18:19:34Z</dcterms:created>
  <dcterms:modified xsi:type="dcterms:W3CDTF">2026-06-21T16:08:46Z</dcterms:modified>
</cp:coreProperties>
</file>