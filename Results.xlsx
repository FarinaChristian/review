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4B228CAB-D105-495A-B419-5F2E589979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1" i="1" l="1"/>
  <c r="AJ200" i="1"/>
  <c r="AJ199" i="1"/>
  <c r="AJ198" i="1"/>
  <c r="AJ197" i="1"/>
  <c r="AJ196" i="1"/>
  <c r="AJ195" i="1"/>
  <c r="AJ194" i="1"/>
  <c r="AJ193" i="1"/>
  <c r="AJ192" i="1"/>
  <c r="O201" i="1"/>
  <c r="O200" i="1"/>
  <c r="O199" i="1"/>
  <c r="O198" i="1"/>
  <c r="O197" i="1"/>
  <c r="O196" i="1"/>
  <c r="O195" i="1"/>
  <c r="O194" i="1"/>
  <c r="O193" i="1"/>
  <c r="O192" i="1"/>
  <c r="E201" i="1"/>
  <c r="E200" i="1"/>
  <c r="E199" i="1"/>
  <c r="E198" i="1"/>
  <c r="E197" i="1"/>
  <c r="E196" i="1"/>
  <c r="E195" i="1"/>
  <c r="E194" i="1"/>
  <c r="E193" i="1"/>
  <c r="E192" i="1"/>
  <c r="Y201" i="1"/>
  <c r="Y200" i="1"/>
  <c r="Y199" i="1"/>
  <c r="Y198" i="1"/>
  <c r="Y197" i="1"/>
  <c r="Y196" i="1"/>
  <c r="Y195" i="1"/>
  <c r="Y194" i="1"/>
  <c r="Y193" i="1"/>
  <c r="Y192" i="1"/>
  <c r="AU202" i="1"/>
  <c r="AU193" i="1"/>
  <c r="AU194" i="1"/>
  <c r="AU195" i="1"/>
  <c r="AU196" i="1"/>
  <c r="AU197" i="1"/>
  <c r="AU198" i="1"/>
  <c r="AU199" i="1"/>
  <c r="AU200" i="1"/>
  <c r="AU201" i="1"/>
  <c r="AU192" i="1"/>
  <c r="AJ202" i="1" l="1"/>
  <c r="O202" i="1"/>
  <c r="E202" i="1"/>
  <c r="Y202" i="1"/>
  <c r="AW189" i="1"/>
  <c r="AX189" i="1"/>
  <c r="AB178" i="1"/>
  <c r="AB179" i="1"/>
  <c r="AB180" i="1"/>
  <c r="AB181" i="1"/>
  <c r="AB182" i="1"/>
  <c r="AB183" i="1"/>
  <c r="AB184" i="1"/>
  <c r="AB185" i="1"/>
  <c r="AB186" i="1"/>
  <c r="AB187" i="1"/>
  <c r="AB188" i="1"/>
  <c r="AA178" i="1"/>
  <c r="AA179" i="1"/>
  <c r="AA180" i="1"/>
  <c r="AA181" i="1"/>
  <c r="AA182" i="1"/>
  <c r="AA183" i="1"/>
  <c r="AA184" i="1"/>
  <c r="AA185" i="1"/>
  <c r="AA186" i="1"/>
  <c r="AA187" i="1"/>
  <c r="AA188" i="1"/>
  <c r="Q82" i="1"/>
  <c r="Q83" i="1"/>
  <c r="AA82" i="1"/>
  <c r="AA83" i="1"/>
  <c r="H83" i="1" l="1"/>
  <c r="G83" i="1"/>
  <c r="H82" i="1"/>
  <c r="G82" i="1"/>
  <c r="R83" i="1"/>
  <c r="R82" i="1"/>
  <c r="AX83" i="1"/>
  <c r="AW83" i="1"/>
  <c r="AX82" i="1"/>
  <c r="AW82" i="1"/>
  <c r="AM83" i="1"/>
  <c r="AL83" i="1"/>
  <c r="AM82" i="1"/>
  <c r="AL82" i="1"/>
  <c r="AB177" i="1" l="1"/>
  <c r="AA177" i="1"/>
  <c r="AB176" i="1"/>
  <c r="AA176" i="1"/>
  <c r="AB175" i="1"/>
  <c r="AA175" i="1"/>
  <c r="AB174" i="1"/>
  <c r="AA174" i="1"/>
  <c r="AB173" i="1"/>
  <c r="AA173" i="1"/>
  <c r="AX178" i="1"/>
  <c r="AX179" i="1"/>
  <c r="AX180" i="1"/>
  <c r="AX181" i="1"/>
  <c r="AX182" i="1"/>
  <c r="AX183" i="1"/>
  <c r="AX184" i="1"/>
  <c r="AX185" i="1"/>
  <c r="AX186" i="1"/>
  <c r="AX187" i="1"/>
  <c r="AX188" i="1"/>
  <c r="AW178" i="1"/>
  <c r="AW179" i="1"/>
  <c r="AW180" i="1"/>
  <c r="AW181" i="1"/>
  <c r="AW182" i="1"/>
  <c r="AW183" i="1"/>
  <c r="AW184" i="1"/>
  <c r="AW185" i="1"/>
  <c r="AW186" i="1"/>
  <c r="AW187" i="1"/>
  <c r="AW188" i="1"/>
  <c r="AX177" i="1"/>
  <c r="AW177" i="1"/>
  <c r="AX176" i="1" l="1"/>
  <c r="AW176" i="1"/>
  <c r="AX175" i="1"/>
  <c r="AW175" i="1"/>
  <c r="AX174" i="1"/>
  <c r="AW174" i="1"/>
  <c r="AX173" i="1"/>
  <c r="AW173" i="1"/>
  <c r="R179" i="1"/>
  <c r="R180" i="1"/>
  <c r="R181" i="1"/>
  <c r="R182" i="1"/>
  <c r="R183" i="1"/>
  <c r="R184" i="1"/>
  <c r="R185" i="1"/>
  <c r="R186" i="1"/>
  <c r="R187" i="1"/>
  <c r="R188" i="1"/>
  <c r="Q179" i="1"/>
  <c r="Q180" i="1"/>
  <c r="Q181" i="1"/>
  <c r="Q182" i="1"/>
  <c r="Q183" i="1"/>
  <c r="Q184" i="1"/>
  <c r="Q185" i="1"/>
  <c r="Q186" i="1"/>
  <c r="Q187" i="1"/>
  <c r="Q188" i="1"/>
  <c r="R178" i="1"/>
  <c r="R177" i="1"/>
  <c r="Q178" i="1"/>
  <c r="Q177" i="1"/>
  <c r="R176" i="1" l="1"/>
  <c r="Q176" i="1"/>
  <c r="R175" i="1"/>
  <c r="Q175" i="1"/>
  <c r="R174" i="1"/>
  <c r="R173" i="1"/>
  <c r="Q174" i="1"/>
  <c r="Q173" i="1"/>
  <c r="G188" i="1"/>
  <c r="H186" i="1"/>
  <c r="H180" i="1"/>
  <c r="H181" i="1"/>
  <c r="H182" i="1"/>
  <c r="H183" i="1"/>
  <c r="H184" i="1"/>
  <c r="H185" i="1"/>
  <c r="H187" i="1"/>
  <c r="H188" i="1"/>
  <c r="G180" i="1"/>
  <c r="G181" i="1"/>
  <c r="G182" i="1"/>
  <c r="G183" i="1"/>
  <c r="G184" i="1"/>
  <c r="G185" i="1"/>
  <c r="G186" i="1"/>
  <c r="G187" i="1"/>
  <c r="H179" i="1"/>
  <c r="G179" i="1"/>
  <c r="H178" i="1"/>
  <c r="G178" i="1"/>
  <c r="H177" i="1"/>
  <c r="G177" i="1"/>
  <c r="H176" i="1" l="1"/>
  <c r="G176" i="1"/>
  <c r="G175" i="1"/>
  <c r="H175" i="1"/>
  <c r="H174" i="1"/>
  <c r="G174" i="1"/>
  <c r="H173" i="1"/>
  <c r="G173" i="1"/>
  <c r="AX164" i="1" l="1"/>
  <c r="AX165" i="1"/>
  <c r="AX166" i="1"/>
  <c r="AX167" i="1"/>
  <c r="AX168" i="1"/>
  <c r="AX169" i="1"/>
  <c r="AX170" i="1"/>
  <c r="AX171" i="1"/>
  <c r="AX172" i="1"/>
  <c r="AW163" i="1"/>
  <c r="AW164" i="1"/>
  <c r="AW165" i="1"/>
  <c r="AW166" i="1"/>
  <c r="AW167" i="1"/>
  <c r="AW168" i="1"/>
  <c r="AW169" i="1"/>
  <c r="AW170" i="1"/>
  <c r="AW171" i="1"/>
  <c r="AW172" i="1"/>
  <c r="AX163" i="1" l="1"/>
  <c r="AX162" i="1"/>
  <c r="AW162" i="1"/>
  <c r="AX161" i="1"/>
  <c r="AW161" i="1"/>
  <c r="H169" i="1" l="1"/>
  <c r="H170" i="1"/>
  <c r="H171" i="1"/>
  <c r="H172" i="1"/>
  <c r="G170" i="1"/>
  <c r="G171" i="1"/>
  <c r="G172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G161" i="1"/>
  <c r="H161" i="1"/>
  <c r="R171" i="1"/>
  <c r="R172" i="1"/>
  <c r="Q162" i="1"/>
  <c r="Q163" i="1"/>
  <c r="Q164" i="1"/>
  <c r="Q165" i="1"/>
  <c r="Q166" i="1"/>
  <c r="Q167" i="1"/>
  <c r="Q168" i="1"/>
  <c r="Q169" i="1"/>
  <c r="Q170" i="1"/>
  <c r="Q171" i="1"/>
  <c r="Q172" i="1"/>
  <c r="R170" i="1"/>
  <c r="R169" i="1"/>
  <c r="R168" i="1"/>
  <c r="R167" i="1"/>
  <c r="R166" i="1"/>
  <c r="R165" i="1"/>
  <c r="R164" i="1"/>
  <c r="R163" i="1"/>
  <c r="Q161" i="1"/>
  <c r="R162" i="1"/>
  <c r="R161" i="1"/>
  <c r="AB172" i="1"/>
  <c r="AA172" i="1"/>
  <c r="AB171" i="1"/>
  <c r="AA171" i="1"/>
  <c r="AB170" i="1"/>
  <c r="AA170" i="1"/>
  <c r="AA169" i="1"/>
  <c r="AB169" i="1"/>
  <c r="AA168" i="1"/>
  <c r="AB168" i="1"/>
  <c r="AB167" i="1"/>
  <c r="AA167" i="1"/>
  <c r="AB166" i="1"/>
  <c r="AA166" i="1"/>
  <c r="AB165" i="1"/>
  <c r="AA165" i="1"/>
  <c r="AB164" i="1"/>
  <c r="AA164" i="1"/>
  <c r="AB163" i="1"/>
  <c r="AA163" i="1"/>
  <c r="AB162" i="1"/>
  <c r="AA162" i="1"/>
  <c r="AB161" i="1"/>
  <c r="AA161" i="1"/>
  <c r="AX158" i="1" l="1"/>
  <c r="AX159" i="1"/>
  <c r="AX160" i="1"/>
  <c r="AW158" i="1"/>
  <c r="AW159" i="1"/>
  <c r="AW160" i="1"/>
  <c r="AX157" i="1"/>
  <c r="AW157" i="1"/>
  <c r="AX156" i="1"/>
  <c r="AW156" i="1"/>
  <c r="AX155" i="1"/>
  <c r="AW155" i="1"/>
  <c r="AX154" i="1"/>
  <c r="AW154" i="1"/>
  <c r="AX153" i="1"/>
  <c r="AW153" i="1"/>
  <c r="AB158" i="1"/>
  <c r="AB159" i="1"/>
  <c r="AB160" i="1"/>
  <c r="AA158" i="1"/>
  <c r="AA159" i="1"/>
  <c r="AA160" i="1"/>
  <c r="AB157" i="1"/>
  <c r="AA157" i="1"/>
  <c r="AB156" i="1"/>
  <c r="AA156" i="1"/>
  <c r="AB155" i="1"/>
  <c r="AA155" i="1"/>
  <c r="AB154" i="1"/>
  <c r="AA154" i="1"/>
  <c r="AB153" i="1"/>
  <c r="AA153" i="1"/>
  <c r="R159" i="1"/>
  <c r="R160" i="1"/>
  <c r="Q159" i="1"/>
  <c r="Q160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H158" i="1"/>
  <c r="H159" i="1"/>
  <c r="H160" i="1"/>
  <c r="G158" i="1"/>
  <c r="G159" i="1"/>
  <c r="G160" i="1"/>
  <c r="H157" i="1"/>
  <c r="G157" i="1"/>
  <c r="H156" i="1"/>
  <c r="G156" i="1"/>
  <c r="G155" i="1"/>
  <c r="H155" i="1"/>
  <c r="G154" i="1"/>
  <c r="H154" i="1"/>
  <c r="H153" i="1"/>
  <c r="G153" i="1"/>
  <c r="H150" i="1"/>
  <c r="H151" i="1"/>
  <c r="H152" i="1"/>
  <c r="G150" i="1"/>
  <c r="G151" i="1"/>
  <c r="G152" i="1"/>
  <c r="H149" i="1"/>
  <c r="G149" i="1"/>
  <c r="H148" i="1"/>
  <c r="G148" i="1"/>
  <c r="G147" i="1"/>
  <c r="H147" i="1"/>
  <c r="H146" i="1"/>
  <c r="G146" i="1"/>
  <c r="G145" i="1"/>
  <c r="H145" i="1"/>
  <c r="AB150" i="1"/>
  <c r="AB151" i="1"/>
  <c r="AB152" i="1"/>
  <c r="AA150" i="1"/>
  <c r="AA151" i="1"/>
  <c r="AA152" i="1"/>
  <c r="AB149" i="1"/>
  <c r="AA149" i="1"/>
  <c r="AB148" i="1"/>
  <c r="AA148" i="1"/>
  <c r="AB147" i="1"/>
  <c r="AA147" i="1"/>
  <c r="AB146" i="1"/>
  <c r="AA146" i="1"/>
  <c r="AB145" i="1"/>
  <c r="AA145" i="1"/>
  <c r="R148" i="1"/>
  <c r="R149" i="1"/>
  <c r="R150" i="1"/>
  <c r="R151" i="1"/>
  <c r="R152" i="1"/>
  <c r="Q148" i="1"/>
  <c r="Q149" i="1"/>
  <c r="Q150" i="1"/>
  <c r="Q151" i="1"/>
  <c r="Q152" i="1"/>
  <c r="Q147" i="1"/>
  <c r="R147" i="1"/>
  <c r="R146" i="1"/>
  <c r="Q146" i="1"/>
  <c r="R145" i="1"/>
  <c r="Q145" i="1"/>
  <c r="AX150" i="1"/>
  <c r="AX151" i="1"/>
  <c r="AX152" i="1"/>
  <c r="AW150" i="1"/>
  <c r="AW151" i="1"/>
  <c r="AW152" i="1"/>
  <c r="AX149" i="1"/>
  <c r="AW149" i="1"/>
  <c r="AX148" i="1"/>
  <c r="AW148" i="1"/>
  <c r="AX147" i="1"/>
  <c r="AW147" i="1"/>
  <c r="AX146" i="1"/>
  <c r="AW146" i="1"/>
  <c r="AX145" i="1"/>
  <c r="AW145" i="1"/>
  <c r="AX118" i="1" l="1"/>
  <c r="AX119" i="1"/>
  <c r="AX120" i="1"/>
  <c r="AX121" i="1"/>
  <c r="AX122" i="1"/>
  <c r="AW118" i="1"/>
  <c r="AW119" i="1"/>
  <c r="AW120" i="1"/>
  <c r="AW121" i="1"/>
  <c r="AW122" i="1"/>
  <c r="AX117" i="1"/>
  <c r="AW117" i="1"/>
  <c r="AX116" i="1"/>
  <c r="AW116" i="1"/>
  <c r="AX115" i="1"/>
  <c r="AW115" i="1"/>
  <c r="AW114" i="1"/>
  <c r="AX114" i="1"/>
  <c r="AB121" i="1"/>
  <c r="AB122" i="1"/>
  <c r="AA121" i="1"/>
  <c r="AA122" i="1"/>
  <c r="AB120" i="1"/>
  <c r="AA120" i="1"/>
  <c r="AB119" i="1"/>
  <c r="AA119" i="1"/>
  <c r="AB118" i="1"/>
  <c r="AA118" i="1"/>
  <c r="AB117" i="1"/>
  <c r="AA117" i="1"/>
  <c r="AB116" i="1"/>
  <c r="AA116" i="1"/>
  <c r="AB115" i="1"/>
  <c r="AA115" i="1"/>
  <c r="AB114" i="1"/>
  <c r="AA114" i="1"/>
  <c r="AB83" i="1"/>
  <c r="AB82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G118" i="1"/>
  <c r="G119" i="1"/>
  <c r="G120" i="1"/>
  <c r="G121" i="1"/>
  <c r="G122" i="1"/>
  <c r="H118" i="1"/>
  <c r="H119" i="1"/>
  <c r="H120" i="1"/>
  <c r="H121" i="1"/>
  <c r="H122" i="1"/>
  <c r="H117" i="1"/>
  <c r="G117" i="1"/>
  <c r="H116" i="1"/>
  <c r="G116" i="1"/>
  <c r="G115" i="1"/>
  <c r="H115" i="1"/>
  <c r="H114" i="1"/>
  <c r="G114" i="1"/>
  <c r="AX144" i="1"/>
  <c r="AW144" i="1"/>
  <c r="AM144" i="1"/>
  <c r="AL144" i="1"/>
  <c r="AB144" i="1"/>
  <c r="AA144" i="1"/>
  <c r="R144" i="1"/>
  <c r="Q144" i="1"/>
  <c r="H144" i="1"/>
  <c r="G144" i="1"/>
  <c r="AX143" i="1"/>
  <c r="AW143" i="1"/>
  <c r="AM143" i="1"/>
  <c r="AL143" i="1"/>
  <c r="AB143" i="1"/>
  <c r="AA143" i="1"/>
  <c r="R143" i="1"/>
  <c r="Q143" i="1"/>
  <c r="H143" i="1"/>
  <c r="G143" i="1"/>
  <c r="AX142" i="1"/>
  <c r="AW142" i="1"/>
  <c r="AM142" i="1"/>
  <c r="AL142" i="1"/>
  <c r="AB142" i="1"/>
  <c r="AA142" i="1"/>
  <c r="R142" i="1"/>
  <c r="Q142" i="1"/>
  <c r="H142" i="1"/>
  <c r="G142" i="1"/>
  <c r="AX141" i="1"/>
  <c r="AW141" i="1"/>
  <c r="AM141" i="1"/>
  <c r="AL141" i="1"/>
  <c r="AB141" i="1"/>
  <c r="AA141" i="1"/>
  <c r="R141" i="1"/>
  <c r="Q141" i="1"/>
  <c r="H141" i="1"/>
  <c r="G141" i="1"/>
  <c r="AX140" i="1"/>
  <c r="AW140" i="1"/>
  <c r="AM140" i="1"/>
  <c r="AL140" i="1"/>
  <c r="AB140" i="1"/>
  <c r="AA140" i="1"/>
  <c r="R140" i="1"/>
  <c r="Q140" i="1"/>
  <c r="H140" i="1"/>
  <c r="G140" i="1"/>
  <c r="AX139" i="1"/>
  <c r="AW139" i="1"/>
  <c r="AM139" i="1"/>
  <c r="AL139" i="1"/>
  <c r="AB139" i="1"/>
  <c r="AA139" i="1"/>
  <c r="R139" i="1"/>
  <c r="Q139" i="1"/>
  <c r="H139" i="1"/>
  <c r="G139" i="1"/>
  <c r="AX138" i="1"/>
  <c r="AW138" i="1"/>
  <c r="AM138" i="1"/>
  <c r="AL138" i="1"/>
  <c r="AB138" i="1"/>
  <c r="AA138" i="1"/>
  <c r="R138" i="1"/>
  <c r="Q138" i="1"/>
  <c r="H138" i="1"/>
  <c r="G138" i="1"/>
  <c r="AX137" i="1"/>
  <c r="AW137" i="1"/>
  <c r="AM137" i="1"/>
  <c r="AL137" i="1"/>
  <c r="AB137" i="1"/>
  <c r="AA137" i="1"/>
  <c r="R137" i="1"/>
  <c r="Q137" i="1"/>
  <c r="H137" i="1"/>
  <c r="G137" i="1"/>
  <c r="AX136" i="1"/>
  <c r="AW136" i="1"/>
  <c r="AM136" i="1"/>
  <c r="AL136" i="1"/>
  <c r="AB136" i="1"/>
  <c r="AA136" i="1"/>
  <c r="R136" i="1"/>
  <c r="Q136" i="1"/>
  <c r="H136" i="1"/>
  <c r="G136" i="1"/>
  <c r="AX135" i="1"/>
  <c r="AW135" i="1"/>
  <c r="AM135" i="1"/>
  <c r="AL135" i="1"/>
  <c r="AB135" i="1"/>
  <c r="AA135" i="1"/>
  <c r="R135" i="1"/>
  <c r="Q135" i="1"/>
  <c r="H135" i="1"/>
  <c r="G135" i="1"/>
  <c r="AX134" i="1"/>
  <c r="AW134" i="1"/>
  <c r="AM134" i="1"/>
  <c r="AL134" i="1"/>
  <c r="AB134" i="1"/>
  <c r="AA134" i="1"/>
  <c r="R134" i="1"/>
  <c r="Q134" i="1"/>
  <c r="H134" i="1"/>
  <c r="G134" i="1"/>
  <c r="AX133" i="1"/>
  <c r="AW133" i="1"/>
  <c r="AM133" i="1"/>
  <c r="AL133" i="1"/>
  <c r="AB133" i="1"/>
  <c r="AA133" i="1"/>
  <c r="R133" i="1"/>
  <c r="Q133" i="1"/>
  <c r="H133" i="1"/>
  <c r="G133" i="1"/>
  <c r="AX132" i="1"/>
  <c r="AW132" i="1"/>
  <c r="AM132" i="1"/>
  <c r="AL132" i="1"/>
  <c r="AB132" i="1"/>
  <c r="AA132" i="1"/>
  <c r="R132" i="1"/>
  <c r="Q132" i="1"/>
  <c r="H132" i="1"/>
  <c r="G132" i="1"/>
  <c r="AM111" i="1"/>
  <c r="AM112" i="1"/>
  <c r="AM113" i="1"/>
  <c r="AM123" i="1"/>
  <c r="AM124" i="1"/>
  <c r="AM125" i="1"/>
  <c r="AM126" i="1"/>
  <c r="AM127" i="1"/>
  <c r="AM128" i="1"/>
  <c r="AL111" i="1"/>
  <c r="AL112" i="1"/>
  <c r="AL113" i="1"/>
  <c r="AL123" i="1"/>
  <c r="AL124" i="1"/>
  <c r="AL125" i="1"/>
  <c r="AL126" i="1"/>
  <c r="AL127" i="1"/>
  <c r="AL128" i="1"/>
  <c r="AX124" i="1" l="1"/>
  <c r="AX125" i="1"/>
  <c r="AX126" i="1"/>
  <c r="AX127" i="1"/>
  <c r="AX128" i="1"/>
  <c r="AW124" i="1"/>
  <c r="AW125" i="1"/>
  <c r="AW126" i="1"/>
  <c r="AW127" i="1"/>
  <c r="AW128" i="1"/>
  <c r="AX123" i="1"/>
  <c r="AW123" i="1"/>
  <c r="AX113" i="1"/>
  <c r="AW113" i="1"/>
  <c r="AX112" i="1"/>
  <c r="AW112" i="1"/>
  <c r="AX111" i="1"/>
  <c r="AW111" i="1"/>
  <c r="AB124" i="1"/>
  <c r="AB125" i="1"/>
  <c r="AB126" i="1"/>
  <c r="AB127" i="1"/>
  <c r="AB128" i="1"/>
  <c r="AA124" i="1"/>
  <c r="AA125" i="1"/>
  <c r="AA126" i="1"/>
  <c r="AA127" i="1"/>
  <c r="AA128" i="1"/>
  <c r="AA123" i="1"/>
  <c r="AB123" i="1"/>
  <c r="AB113" i="1"/>
  <c r="AA113" i="1"/>
  <c r="AB112" i="1"/>
  <c r="AA112" i="1"/>
  <c r="AB111" i="1"/>
  <c r="AA111" i="1"/>
  <c r="H123" i="1"/>
  <c r="H124" i="1"/>
  <c r="H125" i="1"/>
  <c r="H126" i="1"/>
  <c r="H127" i="1"/>
  <c r="H128" i="1"/>
  <c r="G123" i="1"/>
  <c r="G124" i="1"/>
  <c r="G125" i="1"/>
  <c r="G126" i="1"/>
  <c r="G127" i="1"/>
  <c r="G128" i="1"/>
  <c r="H113" i="1"/>
  <c r="G113" i="1"/>
  <c r="H112" i="1"/>
  <c r="G112" i="1"/>
  <c r="H111" i="1"/>
  <c r="G111" i="1"/>
  <c r="R128" i="1"/>
  <c r="Q128" i="1"/>
  <c r="R127" i="1"/>
  <c r="Q127" i="1"/>
  <c r="R126" i="1"/>
  <c r="Q126" i="1"/>
  <c r="R125" i="1"/>
  <c r="Q125" i="1"/>
  <c r="R124" i="1"/>
  <c r="R123" i="1"/>
  <c r="Q124" i="1"/>
  <c r="Q123" i="1"/>
  <c r="R113" i="1"/>
  <c r="Q113" i="1"/>
  <c r="R112" i="1"/>
  <c r="Q112" i="1"/>
  <c r="R111" i="1"/>
  <c r="Q111" i="1"/>
  <c r="AX110" i="1" l="1"/>
  <c r="AW110" i="1"/>
  <c r="AX109" i="1"/>
  <c r="AW109" i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X99" i="1"/>
  <c r="AW99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6" i="1" l="1"/>
  <c r="AW86" i="1"/>
  <c r="AX85" i="1"/>
  <c r="AW85" i="1"/>
  <c r="AX84" i="1"/>
  <c r="AW84" i="1"/>
  <c r="AM86" i="1"/>
  <c r="AL86" i="1"/>
  <c r="AM85" i="1"/>
  <c r="AL85" i="1"/>
  <c r="AM84" i="1"/>
  <c r="AL84" i="1"/>
  <c r="AB86" i="1"/>
  <c r="AA86" i="1"/>
  <c r="AB85" i="1"/>
  <c r="AA85" i="1"/>
  <c r="AB84" i="1"/>
  <c r="AA84" i="1"/>
  <c r="R86" i="1"/>
  <c r="Q86" i="1"/>
  <c r="R85" i="1"/>
  <c r="Q85" i="1"/>
  <c r="R84" i="1"/>
  <c r="Q84" i="1"/>
  <c r="H86" i="1"/>
  <c r="G86" i="1"/>
  <c r="H85" i="1"/>
  <c r="G85" i="1"/>
  <c r="H84" i="1"/>
  <c r="G84" i="1"/>
  <c r="AX131" i="1" l="1"/>
  <c r="AW131" i="1"/>
  <c r="AX130" i="1"/>
  <c r="AW130" i="1"/>
  <c r="AX129" i="1"/>
  <c r="AW12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M131" i="1"/>
  <c r="AL131" i="1"/>
  <c r="AM130" i="1"/>
  <c r="AL130" i="1"/>
  <c r="AM129" i="1"/>
  <c r="AL12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B131" i="1"/>
  <c r="AA131" i="1"/>
  <c r="AB130" i="1"/>
  <c r="AA130" i="1"/>
  <c r="AB129" i="1"/>
  <c r="AA12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R131" i="1"/>
  <c r="Q131" i="1"/>
  <c r="R130" i="1"/>
  <c r="Q130" i="1"/>
  <c r="R129" i="1"/>
  <c r="Q12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H131" i="1" l="1"/>
  <c r="G131" i="1"/>
  <c r="H130" i="1"/>
  <c r="G130" i="1"/>
  <c r="H129" i="1"/>
  <c r="G12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13" i="1" l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  <c r="H189" i="1" l="1"/>
  <c r="G189" i="1"/>
  <c r="AA189" i="1"/>
  <c r="Q189" i="1"/>
  <c r="AB189" i="1"/>
  <c r="R189" i="1"/>
</calcChain>
</file>

<file path=xl/sharedStrings.xml><?xml version="1.0" encoding="utf-8"?>
<sst xmlns="http://schemas.openxmlformats.org/spreadsheetml/2006/main" count="595" uniqueCount="125">
  <si>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</si>
  <si>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</si>
  <si>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</si>
  <si>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</si>
  <si>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</si>
  <si>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</si>
  <si>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</si>
  <si>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</si>
  <si>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</si>
  <si>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</si>
  <si>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</si>
  <si>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</si>
  <si>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</si>
  <si>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</si>
  <si>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</si>
  <si>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</si>
  <si>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</si>
  <si>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</si>
  <si>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</si>
  <si>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</si>
  <si>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</si>
  <si>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</si>
  <si>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</si>
  <si>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</si>
  <si>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</si>
  <si>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</si>
  <si>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</si>
  <si>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</si>
  <si>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</si>
  <si>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</si>
  <si>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</si>
  <si>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</si>
  <si>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</si>
  <si>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</si>
  <si>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</si>
  <si>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</si>
  <si>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</si>
  <si>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</si>
  <si>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</si>
  <si>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</si>
  <si>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</si>
  <si>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</si>
  <si>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</si>
  <si>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</si>
  <si>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</si>
  <si>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</si>
  <si>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</si>
  <si>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</si>
  <si>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</si>
  <si>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</si>
  <si>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</si>
  <si>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</si>
  <si>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</si>
  <si>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</si>
  <si>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</si>
  <si>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</si>
  <si>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</si>
  <si>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</si>
  <si>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</si>
  <si>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</si>
  <si>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</si>
  <si>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</si>
  <si>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</si>
  <si>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</si>
  <si>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</si>
  <si>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</si>
  <si>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</si>
  <si>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</si>
  <si>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</si>
  <si>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</si>
  <si>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</si>
  <si>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</si>
  <si>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</si>
  <si>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</si>
  <si>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</si>
  <si>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</si>
  <si>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</si>
  <si>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</si>
  <si>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</si>
  <si>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</si>
  <si>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</si>
  <si>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</si>
  <si>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</si>
  <si>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</si>
  <si>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</si>
  <si>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</si>
  <si>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</si>
  <si>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</si>
  <si>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</si>
  <si>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</si>
  <si>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</si>
  <si>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</si>
  <si>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</si>
  <si>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</si>
  <si>
    <t>christian-yosef-muhamad</t>
  </si>
  <si>
    <t>vasile-yosef-muhamad</t>
  </si>
  <si>
    <t>vasile-yosef-muhamad2</t>
  </si>
  <si>
    <t>christian-yosef-muhamad2</t>
  </si>
  <si>
    <t>christian-yosef-muhamad3</t>
  </si>
  <si>
    <t>christian-yosef-muhamad4</t>
  </si>
  <si>
    <t>christian-miriam-elena-gianni</t>
  </si>
  <si>
    <t>christian-miriam-elena-gianni2</t>
  </si>
  <si>
    <t>christian-miriam-elena-gianni3</t>
  </si>
  <si>
    <t>christian-miriam-elena-gianni4</t>
  </si>
  <si>
    <t>christian-miriam-elena-gianni5</t>
  </si>
  <si>
    <t>christian-miriam-elena-gianni6</t>
  </si>
  <si>
    <t>christian-miriam-elena-gianni7</t>
  </si>
  <si>
    <t>christian-miriam-elena-gianni8</t>
  </si>
  <si>
    <t>christian-miriam-elena-gianni9</t>
  </si>
  <si>
    <t>christian-miriam-elena-gianni10</t>
  </si>
  <si>
    <t>christian-miriam-elena-gianni11</t>
  </si>
  <si>
    <t>christian-x-miriam</t>
  </si>
  <si>
    <t>GT HR moda</t>
  </si>
  <si>
    <t>Stima</t>
  </si>
  <si>
    <t>schiena1</t>
  </si>
  <si>
    <t>schiena2</t>
  </si>
  <si>
    <t>schiena3</t>
  </si>
  <si>
    <t>schiena4</t>
  </si>
  <si>
    <t>schiena5</t>
  </si>
  <si>
    <t>schiena6</t>
  </si>
  <si>
    <t>schiena7</t>
  </si>
  <si>
    <t>schiena8</t>
  </si>
  <si>
    <t>schiena9</t>
  </si>
  <si>
    <t>schiena10</t>
  </si>
  <si>
    <t>MAE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</si>
</sst>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02"/>
  <sheetViews>
    <sheetView tabSelected="1" topLeftCell="AB1" zoomScaleNormal="100" workbookViewId="0">
      <selection activeCell="AR205" sqref="AR205"/>
    </sheetView>
  </sheetViews>
  <sheetFormatPr defaultRowHeight="15" x14ac:dyDescent="0.25"/>
  <cols>
    <col min="1" max="1" width="18.7109375" customWidth="1"/>
    <col min="2" max="2" width="31.7109375" customWidth="1"/>
    <col min="3" max="3" width="11.2851562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3" max="13" width="11.85546875" customWidth="1"/>
    <col min="18" max="18" width="8.7109375" customWidth="1"/>
    <col min="21" max="21" width="16" customWidth="1"/>
    <col min="22" max="22" width="31.28515625" customWidth="1"/>
    <col min="23" max="23" width="12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5" max="45" width="11.7109375" customWidth="1"/>
    <col min="46" max="46" width="8.8554687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84.3</v>
      </c>
      <c r="AW2" s="9">
        <f>ABS(AS2-AT2)</f>
        <v>0</v>
      </c>
      <c r="AX2" s="10">
        <f>ABS(AU2-AV2)</f>
        <v>20.700000000000003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11.3</v>
      </c>
      <c r="AU3" s="9">
        <v>71</v>
      </c>
      <c r="AV3" s="9">
        <v>89.4</v>
      </c>
      <c r="AW3" s="9">
        <f t="shared" ref="AW3:AW12" si="8">ABS(AS3-AT3)</f>
        <v>0.69999999999999929</v>
      </c>
      <c r="AX3" s="10">
        <f>ABS(AU3-AV3)</f>
        <v>18.400000000000006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16.5</v>
      </c>
      <c r="AU4" s="9">
        <v>100</v>
      </c>
      <c r="AV4" s="9">
        <v>62.5</v>
      </c>
      <c r="AW4" s="9">
        <f t="shared" si="8"/>
        <v>0</v>
      </c>
      <c r="AX4" s="10">
        <f>ABS(AU4-AV4)</f>
        <v>37.5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65.900000000000006</v>
      </c>
      <c r="AW5" s="9">
        <f t="shared" si="8"/>
        <v>0.5</v>
      </c>
      <c r="AX5" s="10">
        <f t="shared" ref="AX5:AX12" si="9">ABS(AU5-AV5)</f>
        <v>1.9000000000000057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98</v>
      </c>
      <c r="AW6" s="9">
        <f t="shared" si="8"/>
        <v>0.5</v>
      </c>
      <c r="AX6" s="10">
        <f t="shared" si="9"/>
        <v>9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88.3</v>
      </c>
      <c r="AW7" s="9">
        <f t="shared" si="8"/>
        <v>0</v>
      </c>
      <c r="AX7" s="10">
        <f t="shared" si="9"/>
        <v>19.700000000000003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22</v>
      </c>
      <c r="AU8" s="9">
        <v>110</v>
      </c>
      <c r="AV8" s="9">
        <v>59.6</v>
      </c>
      <c r="AW8" s="9">
        <f t="shared" si="8"/>
        <v>2.5</v>
      </c>
      <c r="AX8" s="10">
        <f t="shared" si="9"/>
        <v>50.4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70.599999999999994</v>
      </c>
      <c r="AW9" s="9">
        <f t="shared" si="8"/>
        <v>1.1999999999999993</v>
      </c>
      <c r="AX9" s="10">
        <f t="shared" si="9"/>
        <v>42.400000000000006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100.6</v>
      </c>
      <c r="AW10" s="9">
        <f t="shared" si="8"/>
        <v>0</v>
      </c>
      <c r="AX10" s="10">
        <f t="shared" si="9"/>
        <v>9.4000000000000057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108</v>
      </c>
      <c r="AW11" s="9">
        <f t="shared" si="8"/>
        <v>0.5</v>
      </c>
      <c r="AX11" s="10">
        <f t="shared" si="9"/>
        <v>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86</v>
      </c>
      <c r="AW12" s="9">
        <f t="shared" si="8"/>
        <v>0.19999999999999929</v>
      </c>
      <c r="AX12" s="10">
        <f t="shared" si="9"/>
        <v>18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9.8000000000000007</v>
      </c>
      <c r="AU13" s="9">
        <v>90</v>
      </c>
      <c r="AV13" s="9">
        <v>64</v>
      </c>
      <c r="AW13" s="9">
        <f>ABS(AS13-AT13)</f>
        <v>0.19999999999999929</v>
      </c>
      <c r="AX13" s="10">
        <f>ABS(AU13-AV13)</f>
        <v>26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83.4</v>
      </c>
      <c r="AW14" s="9">
        <f t="shared" ref="AW14:AW53" si="18">ABS(AS14-AT14)</f>
        <v>0.60000000000000142</v>
      </c>
      <c r="AX14" s="10">
        <f t="shared" ref="AX14:AX53" si="19">ABS(AU14-AV14)</f>
        <v>1.5999999999999943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90.8</v>
      </c>
      <c r="AW15" s="9">
        <f t="shared" si="18"/>
        <v>0.19999999999999929</v>
      </c>
      <c r="AX15" s="10">
        <f t="shared" si="19"/>
        <v>29.799999999999997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59.3</v>
      </c>
      <c r="AW16" s="9">
        <f t="shared" si="18"/>
        <v>9.9999999999999645E-2</v>
      </c>
      <c r="AX16" s="10">
        <f t="shared" si="19"/>
        <v>25.700000000000003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86.8</v>
      </c>
      <c r="AW17" s="9">
        <f t="shared" si="18"/>
        <v>0.19999999999999929</v>
      </c>
      <c r="AX17" s="10">
        <f t="shared" si="19"/>
        <v>0.20000000000000284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71.099999999999994</v>
      </c>
      <c r="AW18" s="9">
        <f t="shared" si="18"/>
        <v>0</v>
      </c>
      <c r="AX18" s="10">
        <f t="shared" si="19"/>
        <v>11.900000000000006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15</v>
      </c>
      <c r="AU19" s="9">
        <v>73</v>
      </c>
      <c r="AV19" s="9">
        <v>89.8</v>
      </c>
      <c r="AW19" s="9">
        <f t="shared" si="18"/>
        <v>0.59999999999999964</v>
      </c>
      <c r="AX19" s="10">
        <f>ABS(AU19-AV19)</f>
        <v>16.799999999999997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13.3</v>
      </c>
      <c r="AU20" s="9">
        <v>85</v>
      </c>
      <c r="AV20" s="9">
        <v>75.599999999999994</v>
      </c>
      <c r="AW20" s="9">
        <f t="shared" si="18"/>
        <v>0.10000000000000142</v>
      </c>
      <c r="AX20" s="10">
        <f>ABS(AU20-AV20)</f>
        <v>9.4000000000000057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14.1</v>
      </c>
      <c r="AU21" s="9">
        <v>85</v>
      </c>
      <c r="AV21" s="9">
        <v>91.2</v>
      </c>
      <c r="AW21" s="9">
        <f t="shared" si="18"/>
        <v>9.9999999999999645E-2</v>
      </c>
      <c r="AX21" s="10">
        <f t="shared" si="19"/>
        <v>6.2000000000000028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74.8</v>
      </c>
      <c r="AW22" s="9">
        <f t="shared" si="18"/>
        <v>0.20000000000000107</v>
      </c>
      <c r="AX22" s="10">
        <f t="shared" si="19"/>
        <v>7.2000000000000028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14.4</v>
      </c>
      <c r="AU23" s="9">
        <v>87</v>
      </c>
      <c r="AV23" s="9">
        <v>63.4</v>
      </c>
      <c r="AW23" s="9">
        <f t="shared" si="18"/>
        <v>0.80000000000000071</v>
      </c>
      <c r="AX23" s="10">
        <f t="shared" si="19"/>
        <v>23.6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208</v>
      </c>
      <c r="AL24" s="9">
        <f t="shared" si="16"/>
        <v>15.6</v>
      </c>
      <c r="AM24" s="10">
        <f t="shared" si="17"/>
        <v>108</v>
      </c>
      <c r="AR24" s="14" t="s">
        <v>60</v>
      </c>
      <c r="AS24" s="9">
        <v>15.6</v>
      </c>
      <c r="AT24" s="9">
        <v>15</v>
      </c>
      <c r="AU24" s="9">
        <v>100</v>
      </c>
      <c r="AV24" s="9">
        <v>48.4</v>
      </c>
      <c r="AW24" s="9">
        <f t="shared" si="18"/>
        <v>0.59999999999999964</v>
      </c>
      <c r="AX24" s="10">
        <f t="shared" si="19"/>
        <v>51.6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14.8</v>
      </c>
      <c r="AU25" s="9">
        <v>99</v>
      </c>
      <c r="AV25" s="9">
        <v>52.5</v>
      </c>
      <c r="AW25" s="9">
        <f t="shared" si="18"/>
        <v>0</v>
      </c>
      <c r="AX25" s="10">
        <f t="shared" si="19"/>
        <v>46.5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57.6</v>
      </c>
      <c r="AW26" s="9">
        <f t="shared" si="18"/>
        <v>0</v>
      </c>
      <c r="AX26" s="10">
        <f t="shared" si="19"/>
        <v>40.4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14</v>
      </c>
      <c r="AU27" s="9">
        <v>110</v>
      </c>
      <c r="AV27" s="9">
        <v>85</v>
      </c>
      <c r="AW27" s="9">
        <f t="shared" si="18"/>
        <v>0.80000000000000071</v>
      </c>
      <c r="AX27" s="10">
        <f t="shared" si="19"/>
        <v>25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13.5</v>
      </c>
      <c r="AU28" s="9">
        <v>100</v>
      </c>
      <c r="AV28" s="9">
        <v>81.599999999999994</v>
      </c>
      <c r="AW28" s="9">
        <f t="shared" si="18"/>
        <v>0.90000000000000036</v>
      </c>
      <c r="AX28" s="10">
        <f t="shared" si="19"/>
        <v>18.400000000000006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96</v>
      </c>
      <c r="AW29" s="9">
        <f t="shared" si="18"/>
        <v>0.59999999999999964</v>
      </c>
      <c r="AX29" s="10">
        <f t="shared" si="19"/>
        <v>1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73.400000000000006</v>
      </c>
      <c r="AW30" s="9">
        <f t="shared" si="18"/>
        <v>0</v>
      </c>
      <c r="AX30" s="10">
        <f t="shared" si="19"/>
        <v>21.599999999999994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77.7</v>
      </c>
      <c r="AW31" s="9">
        <f t="shared" si="18"/>
        <v>0.19999999999999929</v>
      </c>
      <c r="AX31" s="10">
        <f t="shared" si="19"/>
        <v>17.299999999999997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98.7</v>
      </c>
      <c r="AW32" s="9">
        <f t="shared" si="18"/>
        <v>0</v>
      </c>
      <c r="AX32" s="10">
        <f t="shared" si="19"/>
        <v>2.7000000000000028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85.2</v>
      </c>
      <c r="AW33" s="9">
        <f t="shared" si="18"/>
        <v>1.1999999999999993</v>
      </c>
      <c r="AX33" s="10">
        <f t="shared" si="19"/>
        <v>9.7999999999999972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78.5</v>
      </c>
      <c r="AW34" s="9">
        <f t="shared" si="18"/>
        <v>0.19999999999999929</v>
      </c>
      <c r="AX34" s="10">
        <f t="shared" si="19"/>
        <v>25.5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67.2</v>
      </c>
      <c r="AW35" s="9">
        <f t="shared" si="18"/>
        <v>0</v>
      </c>
      <c r="AX35" s="10">
        <f t="shared" si="19"/>
        <v>32.799999999999997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64.8</v>
      </c>
      <c r="AW36" s="9">
        <f t="shared" si="18"/>
        <v>0.40000000000000036</v>
      </c>
      <c r="AX36" s="10">
        <f t="shared" si="19"/>
        <v>45.2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14.8</v>
      </c>
      <c r="AU37" s="9">
        <v>100</v>
      </c>
      <c r="AV37" s="9">
        <v>60.8</v>
      </c>
      <c r="AW37" s="9">
        <f t="shared" si="18"/>
        <v>0.59999999999999964</v>
      </c>
      <c r="AX37" s="10">
        <f t="shared" si="19"/>
        <v>39.200000000000003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80</v>
      </c>
      <c r="AW38" s="9">
        <f t="shared" si="18"/>
        <v>0.19999999999999929</v>
      </c>
      <c r="AX38" s="10">
        <f t="shared" si="19"/>
        <v>20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11.8</v>
      </c>
      <c r="AU39" s="9">
        <v>96</v>
      </c>
      <c r="AV39" s="9">
        <v>51.6</v>
      </c>
      <c r="AW39" s="9">
        <f t="shared" si="18"/>
        <v>0.19999999999999929</v>
      </c>
      <c r="AX39" s="10">
        <f t="shared" si="19"/>
        <v>44.4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62.6</v>
      </c>
      <c r="AW40" s="9">
        <f t="shared" si="18"/>
        <v>0.19999999999999929</v>
      </c>
      <c r="AX40" s="10">
        <f t="shared" si="19"/>
        <v>37.4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13.8</v>
      </c>
      <c r="AU41" s="9">
        <v>95</v>
      </c>
      <c r="AV41" s="9">
        <v>74.5</v>
      </c>
      <c r="AW41" s="9">
        <f t="shared" si="18"/>
        <v>0.20000000000000107</v>
      </c>
      <c r="AX41" s="10">
        <f t="shared" si="19"/>
        <v>20.5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56</v>
      </c>
      <c r="AW42" s="9">
        <f t="shared" si="18"/>
        <v>0.59999999999999964</v>
      </c>
      <c r="AX42" s="10">
        <f t="shared" si="19"/>
        <v>41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</v>
      </c>
      <c r="AU43" s="9">
        <v>100</v>
      </c>
      <c r="AV43" s="9">
        <v>87.2</v>
      </c>
      <c r="AW43" s="9">
        <f t="shared" si="18"/>
        <v>0.59999999999999964</v>
      </c>
      <c r="AX43" s="10">
        <f t="shared" si="19"/>
        <v>12.799999999999997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15.2</v>
      </c>
      <c r="AU44" s="9">
        <v>110</v>
      </c>
      <c r="AV44" s="9">
        <v>110.8</v>
      </c>
      <c r="AW44" s="9">
        <f t="shared" si="18"/>
        <v>0.79999999999999893</v>
      </c>
      <c r="AX44" s="10">
        <f t="shared" si="19"/>
        <v>0.79999999999999716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15.2</v>
      </c>
      <c r="AU45" s="9">
        <v>106</v>
      </c>
      <c r="AV45" s="9">
        <v>57</v>
      </c>
      <c r="AW45" s="9">
        <f t="shared" si="18"/>
        <v>0</v>
      </c>
      <c r="AX45" s="10">
        <f t="shared" si="19"/>
        <v>49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124</v>
      </c>
      <c r="AL46" s="9">
        <f t="shared" si="16"/>
        <v>15.6</v>
      </c>
      <c r="AM46" s="10">
        <f t="shared" si="17"/>
        <v>16</v>
      </c>
      <c r="AR46" s="14" t="s">
        <v>82</v>
      </c>
      <c r="AS46" s="9">
        <v>15.6</v>
      </c>
      <c r="AT46" s="9">
        <v>15.4</v>
      </c>
      <c r="AU46" s="9">
        <v>108</v>
      </c>
      <c r="AV46" s="9">
        <v>81.2</v>
      </c>
      <c r="AW46" s="9">
        <f t="shared" si="18"/>
        <v>0.19999999999999929</v>
      </c>
      <c r="AX46" s="10">
        <f t="shared" si="19"/>
        <v>26.799999999999997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15.5</v>
      </c>
      <c r="AU47" s="9">
        <v>110</v>
      </c>
      <c r="AV47" s="9">
        <v>90.4</v>
      </c>
      <c r="AW47" s="9">
        <f t="shared" si="18"/>
        <v>0.30000000000000071</v>
      </c>
      <c r="AX47" s="10">
        <f t="shared" si="19"/>
        <v>19.599999999999994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77.599999999999994</v>
      </c>
      <c r="AW48" s="9">
        <f t="shared" si="18"/>
        <v>0.40000000000000036</v>
      </c>
      <c r="AX48" s="10">
        <f t="shared" si="19"/>
        <v>32.400000000000006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16</v>
      </c>
      <c r="AU49" s="9">
        <v>110</v>
      </c>
      <c r="AV49" s="9">
        <v>59.9</v>
      </c>
      <c r="AW49" s="9">
        <f t="shared" si="18"/>
        <v>0</v>
      </c>
      <c r="AX49" s="10">
        <f t="shared" si="19"/>
        <v>50.1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15.8</v>
      </c>
      <c r="AU50" s="9">
        <v>112</v>
      </c>
      <c r="AV50" s="9">
        <v>58.8</v>
      </c>
      <c r="AW50" s="9">
        <f t="shared" si="18"/>
        <v>0.19999999999999929</v>
      </c>
      <c r="AX50" s="10">
        <f t="shared" si="19"/>
        <v>53.2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111.1</v>
      </c>
      <c r="AL51" s="9">
        <f t="shared" si="16"/>
        <v>16</v>
      </c>
      <c r="AM51" s="10">
        <f t="shared" si="17"/>
        <v>9.9999999999994316E-2</v>
      </c>
      <c r="AR51" s="14" t="s">
        <v>87</v>
      </c>
      <c r="AS51" s="9">
        <v>16</v>
      </c>
      <c r="AT51" s="9">
        <v>16</v>
      </c>
      <c r="AU51" s="9">
        <v>111</v>
      </c>
      <c r="AV51" s="9">
        <v>61.4</v>
      </c>
      <c r="AW51" s="9">
        <f t="shared" si="18"/>
        <v>0</v>
      </c>
      <c r="AX51" s="10">
        <f t="shared" si="19"/>
        <v>49.6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11.3</v>
      </c>
      <c r="AU52" s="9">
        <v>110</v>
      </c>
      <c r="AV52" s="9">
        <v>57.7</v>
      </c>
      <c r="AW52" s="9">
        <f t="shared" si="18"/>
        <v>1.6999999999999993</v>
      </c>
      <c r="AX52" s="10">
        <f t="shared" si="19"/>
        <v>52.3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13.8</v>
      </c>
      <c r="AU53" s="9">
        <v>111</v>
      </c>
      <c r="AV53" s="9">
        <v>96.2</v>
      </c>
      <c r="AW53" s="9">
        <f t="shared" si="18"/>
        <v>0.40000000000000036</v>
      </c>
      <c r="AX53" s="10">
        <f t="shared" si="19"/>
        <v>14.799999999999997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R54" s="12" t="s">
        <v>4</v>
      </c>
      <c r="AS54">
        <v>12</v>
      </c>
      <c r="AT54">
        <v>11.5</v>
      </c>
      <c r="AU54">
        <v>67</v>
      </c>
      <c r="AV54">
        <v>67</v>
      </c>
      <c r="AW54">
        <f>ABS(AS54-AT54)</f>
        <v>0.5</v>
      </c>
      <c r="AX54" s="13">
        <f>ABS(AU54-AV54)</f>
        <v>0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90.5</v>
      </c>
      <c r="AW55" s="7">
        <f>ABS(AS55-AT55)</f>
        <v>0.19999999999999929</v>
      </c>
      <c r="AX55" s="8">
        <f>ABS(AU55-AV55)</f>
        <v>14.5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13.5</v>
      </c>
      <c r="AU56" s="4">
        <v>75</v>
      </c>
      <c r="AV56" s="4">
        <v>62.5</v>
      </c>
      <c r="AW56" s="4">
        <f>ABS(AS56-AT56)</f>
        <v>0.5</v>
      </c>
      <c r="AX56" s="5">
        <f t="shared" ref="AX56:AX73" si="24">ABS(AU56-AV56)</f>
        <v>12.5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79.400000000000006</v>
      </c>
      <c r="AW57" s="7">
        <f>ABS(AS57-AT57)</f>
        <v>0.19999999999999929</v>
      </c>
      <c r="AX57" s="8">
        <f t="shared" si="24"/>
        <v>25.599999999999994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80</v>
      </c>
      <c r="AW58" s="4">
        <f t="shared" ref="AW58:AW73" si="29">ABS(AS58-AT58)</f>
        <v>0.60000000000000053</v>
      </c>
      <c r="AX58" s="5">
        <f t="shared" si="24"/>
        <v>15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74.7</v>
      </c>
      <c r="AW59" s="7">
        <f t="shared" si="29"/>
        <v>0</v>
      </c>
      <c r="AX59" s="8">
        <f t="shared" si="24"/>
        <v>19.299999999999997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86</v>
      </c>
      <c r="AW60" s="4">
        <f t="shared" si="29"/>
        <v>0.79999999999999982</v>
      </c>
      <c r="AX60" s="5">
        <f t="shared" si="24"/>
        <v>22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8.6999999999999993</v>
      </c>
      <c r="AU61" s="7">
        <v>87</v>
      </c>
      <c r="AV61" s="7">
        <v>51.9</v>
      </c>
      <c r="AW61" s="7">
        <f t="shared" si="29"/>
        <v>0.69999999999999929</v>
      </c>
      <c r="AX61" s="8">
        <f t="shared" si="24"/>
        <v>35.1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6.7</v>
      </c>
      <c r="AU62" s="4">
        <v>65</v>
      </c>
      <c r="AV62" s="4">
        <v>3.9</v>
      </c>
      <c r="AW62" s="4">
        <f t="shared" si="29"/>
        <v>0.89999999999999947</v>
      </c>
      <c r="AX62" s="5">
        <f t="shared" si="24"/>
        <v>61.1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11</v>
      </c>
      <c r="AU63" s="7">
        <v>89</v>
      </c>
      <c r="AV63" s="7">
        <v>61.4</v>
      </c>
      <c r="AW63" s="7">
        <f t="shared" si="29"/>
        <v>1</v>
      </c>
      <c r="AX63" s="8">
        <f t="shared" si="24"/>
        <v>27.6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6.6</v>
      </c>
      <c r="AU64" s="4">
        <v>66</v>
      </c>
      <c r="AV64" s="4">
        <v>62.9</v>
      </c>
      <c r="AW64" s="4">
        <f t="shared" si="29"/>
        <v>1</v>
      </c>
      <c r="AX64" s="5">
        <f t="shared" si="24"/>
        <v>3.1000000000000014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11</v>
      </c>
      <c r="AU65" s="7">
        <v>87</v>
      </c>
      <c r="AV65" s="7">
        <v>72.400000000000006</v>
      </c>
      <c r="AW65">
        <f t="shared" si="29"/>
        <v>0.59999999999999964</v>
      </c>
      <c r="AX65" s="13">
        <f t="shared" si="24"/>
        <v>14.599999999999994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107.3</v>
      </c>
      <c r="AL66" s="4">
        <f t="shared" si="28"/>
        <v>8</v>
      </c>
      <c r="AM66" s="5">
        <f t="shared" si="23"/>
        <v>31.299999999999997</v>
      </c>
      <c r="AR66" s="3" t="s">
        <v>56</v>
      </c>
      <c r="AS66" s="4">
        <v>8</v>
      </c>
      <c r="AT66" s="4">
        <v>9.1999999999999993</v>
      </c>
      <c r="AU66" s="4">
        <v>76</v>
      </c>
      <c r="AV66" s="4">
        <v>60.7</v>
      </c>
      <c r="AW66" s="4">
        <f t="shared" si="29"/>
        <v>1.1999999999999993</v>
      </c>
      <c r="AX66" s="5">
        <f t="shared" si="24"/>
        <v>15.299999999999997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129</v>
      </c>
      <c r="AL67" s="7">
        <f t="shared" si="28"/>
        <v>11.6</v>
      </c>
      <c r="AM67" s="8">
        <f t="shared" si="23"/>
        <v>28</v>
      </c>
      <c r="AR67" s="6"/>
      <c r="AS67" s="7">
        <v>11.6</v>
      </c>
      <c r="AT67" s="7">
        <v>6.4</v>
      </c>
      <c r="AU67" s="7">
        <v>101</v>
      </c>
      <c r="AV67" s="7">
        <v>87.8</v>
      </c>
      <c r="AW67" s="7">
        <f t="shared" si="29"/>
        <v>5.1999999999999993</v>
      </c>
      <c r="AX67" s="8">
        <f t="shared" si="24"/>
        <v>13.200000000000003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56.7</v>
      </c>
      <c r="AW68" s="4">
        <f t="shared" si="29"/>
        <v>1.4000000000000004</v>
      </c>
      <c r="AX68" s="5">
        <f t="shared" si="24"/>
        <v>16.299999999999997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11.3</v>
      </c>
      <c r="AU69" s="7">
        <v>100</v>
      </c>
      <c r="AV69" s="7">
        <v>78</v>
      </c>
      <c r="AW69" s="7">
        <f t="shared" si="29"/>
        <v>0.69999999999999929</v>
      </c>
      <c r="AX69" s="8">
        <f t="shared" si="24"/>
        <v>22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76.599999999999994</v>
      </c>
      <c r="AW70" s="4">
        <f t="shared" si="29"/>
        <v>0.20000000000000107</v>
      </c>
      <c r="AX70" s="5">
        <f t="shared" si="24"/>
        <v>8.5999999999999943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94.8</v>
      </c>
      <c r="AW71" s="7">
        <f t="shared" si="29"/>
        <v>0.40000000000000036</v>
      </c>
      <c r="AX71" s="8">
        <f t="shared" si="24"/>
        <v>2.2000000000000028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8.6</v>
      </c>
      <c r="AU72" s="4">
        <v>70</v>
      </c>
      <c r="AV72" s="4">
        <v>72.400000000000006</v>
      </c>
      <c r="AW72" s="4">
        <f t="shared" si="29"/>
        <v>0.20000000000000107</v>
      </c>
      <c r="AX72" s="5">
        <f t="shared" si="24"/>
        <v>2.4000000000000057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95.4</v>
      </c>
      <c r="AW73" s="7">
        <f t="shared" si="29"/>
        <v>1.3999999999999995</v>
      </c>
      <c r="AX73" s="8">
        <f t="shared" si="24"/>
        <v>1.4000000000000057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3" si="30">ABS(C74-D74)</f>
        <v>0.30000000000000071</v>
      </c>
      <c r="H74" s="13">
        <f t="shared" ref="H74:H83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3" si="32">ABS(M74-N74)</f>
        <v>0.39999999999999858</v>
      </c>
      <c r="R74" s="13">
        <f t="shared" ref="R74:R83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3" si="34">ABS(W74-X74)</f>
        <v>1.1000000000000014</v>
      </c>
      <c r="AB74" s="5">
        <f t="shared" ref="AB74:AB83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3" si="36">ABS(AH74-AI74)</f>
        <v>16.5</v>
      </c>
      <c r="AM74" s="13">
        <f t="shared" ref="AM74:AM83" si="37">ABS(AJ74-AK74)</f>
        <v>8</v>
      </c>
      <c r="AR74" s="3" t="s">
        <v>26</v>
      </c>
      <c r="AS74" s="4">
        <v>16.5</v>
      </c>
      <c r="AT74" s="4">
        <v>17</v>
      </c>
      <c r="AU74" s="4">
        <v>100</v>
      </c>
      <c r="AV74" s="4">
        <v>95.9</v>
      </c>
      <c r="AW74">
        <f t="shared" ref="AW74:AW83" si="38">ABS(AS74-AT74)</f>
        <v>0.5</v>
      </c>
      <c r="AX74" s="13">
        <f t="shared" ref="AX74:AX83" si="39">ABS(AU74-AV74)</f>
        <v>4.0999999999999943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69.3</v>
      </c>
      <c r="AW75" s="7">
        <f t="shared" si="38"/>
        <v>1.5</v>
      </c>
      <c r="AX75" s="8">
        <f t="shared" si="39"/>
        <v>5.7000000000000028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92</v>
      </c>
      <c r="AW76" s="4">
        <f t="shared" si="38"/>
        <v>0.19999999999999929</v>
      </c>
      <c r="AX76" s="5">
        <f t="shared" si="39"/>
        <v>20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62</v>
      </c>
      <c r="AW77" s="7">
        <f t="shared" si="38"/>
        <v>1</v>
      </c>
      <c r="AX77" s="8">
        <f t="shared" si="39"/>
        <v>49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15.6</v>
      </c>
      <c r="AU78" s="4">
        <v>94</v>
      </c>
      <c r="AV78" s="4">
        <v>74</v>
      </c>
      <c r="AW78" s="4">
        <f t="shared" si="38"/>
        <v>9.9999999999999645E-2</v>
      </c>
      <c r="AX78" s="5">
        <f t="shared" si="39"/>
        <v>20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62.3</v>
      </c>
      <c r="AW79" s="7">
        <f t="shared" si="38"/>
        <v>1.6999999999999993</v>
      </c>
      <c r="AX79" s="8">
        <f t="shared" si="39"/>
        <v>31.700000000000003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15.5</v>
      </c>
      <c r="AU80" s="4">
        <v>104</v>
      </c>
      <c r="AV80" s="4">
        <v>84.1</v>
      </c>
      <c r="AW80" s="4">
        <f t="shared" si="38"/>
        <v>1</v>
      </c>
      <c r="AX80" s="5">
        <f t="shared" si="39"/>
        <v>19.900000000000006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>
        <v>9.8000000000000007</v>
      </c>
      <c r="AU81" s="7">
        <v>98</v>
      </c>
      <c r="AV81" s="7">
        <v>75.8</v>
      </c>
      <c r="AW81" s="7">
        <f t="shared" si="38"/>
        <v>1.1999999999999993</v>
      </c>
      <c r="AX81" s="8">
        <f t="shared" si="39"/>
        <v>22.200000000000003</v>
      </c>
    </row>
    <row r="82" spans="2:50" x14ac:dyDescent="0.25">
      <c r="B82" s="3" t="s">
        <v>111</v>
      </c>
      <c r="C82" s="4">
        <v>11.8</v>
      </c>
      <c r="D82" s="4">
        <v>11.5</v>
      </c>
      <c r="E82" s="4">
        <v>90</v>
      </c>
      <c r="F82" s="4">
        <v>76.599999999999994</v>
      </c>
      <c r="G82" s="4">
        <f t="shared" si="30"/>
        <v>0.30000000000000071</v>
      </c>
      <c r="H82" s="5">
        <f t="shared" si="31"/>
        <v>13.400000000000006</v>
      </c>
      <c r="L82" s="3" t="s">
        <v>111</v>
      </c>
      <c r="M82" s="4">
        <v>11.8</v>
      </c>
      <c r="N82">
        <v>11.8</v>
      </c>
      <c r="O82" s="4">
        <v>90</v>
      </c>
      <c r="P82" s="4">
        <v>89.2</v>
      </c>
      <c r="Q82" s="4">
        <f t="shared" si="32"/>
        <v>0</v>
      </c>
      <c r="R82" s="5">
        <f t="shared" si="33"/>
        <v>0.79999999999999716</v>
      </c>
      <c r="V82" s="3" t="s">
        <v>111</v>
      </c>
      <c r="W82" s="4">
        <v>11.8</v>
      </c>
      <c r="X82" s="4">
        <v>11.7</v>
      </c>
      <c r="Y82" s="4">
        <v>90</v>
      </c>
      <c r="Z82" s="4">
        <v>92</v>
      </c>
      <c r="AA82" s="4">
        <f t="shared" si="34"/>
        <v>0.10000000000000142</v>
      </c>
      <c r="AB82" s="5">
        <f t="shared" si="35"/>
        <v>2</v>
      </c>
      <c r="AG82" s="3" t="s">
        <v>111</v>
      </c>
      <c r="AH82" s="4">
        <v>11.8</v>
      </c>
      <c r="AI82" s="4"/>
      <c r="AJ82" s="4">
        <v>90</v>
      </c>
      <c r="AK82" s="4"/>
      <c r="AL82" s="4">
        <f t="shared" si="36"/>
        <v>11.8</v>
      </c>
      <c r="AM82" s="5">
        <f t="shared" si="37"/>
        <v>90</v>
      </c>
      <c r="AR82" s="3" t="s">
        <v>111</v>
      </c>
      <c r="AS82" s="4">
        <v>11.8</v>
      </c>
      <c r="AT82" s="4">
        <v>11.6</v>
      </c>
      <c r="AU82" s="4">
        <v>90</v>
      </c>
      <c r="AV82" s="4">
        <v>89.6</v>
      </c>
      <c r="AW82" s="4">
        <f t="shared" si="38"/>
        <v>0.20000000000000107</v>
      </c>
      <c r="AX82" s="5">
        <f t="shared" si="39"/>
        <v>0.40000000000000568</v>
      </c>
    </row>
    <row r="83" spans="2:50" x14ac:dyDescent="0.25">
      <c r="B83" s="6"/>
      <c r="C83" s="7">
        <v>10.4</v>
      </c>
      <c r="D83" s="7">
        <v>11.7</v>
      </c>
      <c r="E83" s="7">
        <v>88</v>
      </c>
      <c r="F83" s="7">
        <v>66.8</v>
      </c>
      <c r="G83" s="7">
        <f t="shared" si="30"/>
        <v>1.2999999999999989</v>
      </c>
      <c r="H83" s="8">
        <f t="shared" si="31"/>
        <v>21.200000000000003</v>
      </c>
      <c r="L83" s="6"/>
      <c r="M83" s="7">
        <v>10.4</v>
      </c>
      <c r="N83">
        <v>9.8000000000000007</v>
      </c>
      <c r="O83" s="7">
        <v>88</v>
      </c>
      <c r="P83" s="7">
        <v>97.6</v>
      </c>
      <c r="Q83" s="7">
        <f t="shared" si="32"/>
        <v>0.59999999999999964</v>
      </c>
      <c r="R83" s="8">
        <f t="shared" si="33"/>
        <v>9.5999999999999943</v>
      </c>
      <c r="V83" s="6"/>
      <c r="W83" s="7">
        <v>10.4</v>
      </c>
      <c r="X83" s="7">
        <v>9.4</v>
      </c>
      <c r="Y83" s="7">
        <v>88</v>
      </c>
      <c r="Z83" s="7">
        <v>92</v>
      </c>
      <c r="AA83" s="7">
        <f t="shared" si="34"/>
        <v>1</v>
      </c>
      <c r="AB83" s="8">
        <f t="shared" si="35"/>
        <v>4</v>
      </c>
      <c r="AG83" s="6"/>
      <c r="AH83" s="7">
        <v>10.4</v>
      </c>
      <c r="AI83" s="7"/>
      <c r="AJ83" s="7">
        <v>88</v>
      </c>
      <c r="AK83" s="7"/>
      <c r="AL83" s="7">
        <f t="shared" si="36"/>
        <v>10.4</v>
      </c>
      <c r="AM83" s="8">
        <f t="shared" si="37"/>
        <v>88</v>
      </c>
      <c r="AR83" s="6"/>
      <c r="AS83" s="7">
        <v>10.4</v>
      </c>
      <c r="AT83" s="7">
        <v>9.8000000000000007</v>
      </c>
      <c r="AU83" s="7">
        <v>88</v>
      </c>
      <c r="AV83" s="7">
        <v>68.2</v>
      </c>
      <c r="AW83" s="7">
        <f t="shared" si="38"/>
        <v>0.59999999999999964</v>
      </c>
      <c r="AX83" s="8">
        <f t="shared" si="39"/>
        <v>19.799999999999997</v>
      </c>
    </row>
    <row r="84" spans="2:50" x14ac:dyDescent="0.25">
      <c r="B84" s="3" t="s">
        <v>40</v>
      </c>
      <c r="C84" s="4">
        <v>18</v>
      </c>
      <c r="D84" s="4">
        <v>18.3</v>
      </c>
      <c r="E84" s="4">
        <v>87</v>
      </c>
      <c r="F84" s="4">
        <v>44.5</v>
      </c>
      <c r="G84" s="4">
        <f>ABS(C84-D84)</f>
        <v>0.30000000000000071</v>
      </c>
      <c r="H84" s="5">
        <f>ABS(E84-F84)</f>
        <v>42.5</v>
      </c>
      <c r="L84" s="3" t="s">
        <v>40</v>
      </c>
      <c r="M84" s="4">
        <v>18</v>
      </c>
      <c r="N84" s="4">
        <v>17.899999999999999</v>
      </c>
      <c r="O84" s="4">
        <v>87</v>
      </c>
      <c r="P84" s="4">
        <v>71.599999999999994</v>
      </c>
      <c r="Q84">
        <f>ABS(M84-N84)</f>
        <v>0.10000000000000142</v>
      </c>
      <c r="R84" s="5">
        <f>ABS(O84-P84)</f>
        <v>15.400000000000006</v>
      </c>
      <c r="V84" s="3" t="s">
        <v>40</v>
      </c>
      <c r="W84" s="4">
        <v>18</v>
      </c>
      <c r="X84" s="4">
        <v>17.600000000000001</v>
      </c>
      <c r="Y84" s="4">
        <v>87</v>
      </c>
      <c r="Z84" s="4">
        <v>79.099999999999994</v>
      </c>
      <c r="AA84">
        <f>ABS(W84-X84)</f>
        <v>0.39999999999999858</v>
      </c>
      <c r="AB84" s="5">
        <f>ABS(Y84-Z84)</f>
        <v>7.9000000000000057</v>
      </c>
      <c r="AG84" s="3" t="s">
        <v>40</v>
      </c>
      <c r="AH84" s="4">
        <v>18</v>
      </c>
      <c r="AI84" s="4"/>
      <c r="AJ84" s="4">
        <v>87</v>
      </c>
      <c r="AK84" s="4">
        <v>66.5</v>
      </c>
      <c r="AL84" s="4">
        <f>ABS(AH84-AI84)</f>
        <v>18</v>
      </c>
      <c r="AM84" s="5">
        <f>ABS(AJ84-AK84)</f>
        <v>20.5</v>
      </c>
      <c r="AR84" s="3" t="s">
        <v>40</v>
      </c>
      <c r="AS84" s="4">
        <v>18</v>
      </c>
      <c r="AT84" s="4">
        <v>17.600000000000001</v>
      </c>
      <c r="AU84" s="4">
        <v>87</v>
      </c>
      <c r="AV84" s="4">
        <v>68.599999999999994</v>
      </c>
      <c r="AW84" s="4">
        <f>ABS(AS84-AT84)</f>
        <v>0.39999999999999858</v>
      </c>
      <c r="AX84" s="5">
        <f>ABS(AU84-AV84)</f>
        <v>18.400000000000006</v>
      </c>
    </row>
    <row r="85" spans="2:50" x14ac:dyDescent="0.25">
      <c r="B85" s="12"/>
      <c r="C85">
        <v>8.8000000000000007</v>
      </c>
      <c r="D85">
        <v>8.3000000000000007</v>
      </c>
      <c r="E85">
        <v>74</v>
      </c>
      <c r="F85">
        <v>72.400000000000006</v>
      </c>
      <c r="G85">
        <f>ABS(C85-D85)</f>
        <v>0.5</v>
      </c>
      <c r="H85" s="13">
        <f>ABS(E85-F85)</f>
        <v>1.5999999999999943</v>
      </c>
      <c r="L85" s="12"/>
      <c r="M85">
        <v>8.8000000000000007</v>
      </c>
      <c r="N85">
        <v>9.3000000000000007</v>
      </c>
      <c r="O85">
        <v>74</v>
      </c>
      <c r="P85">
        <v>59.2</v>
      </c>
      <c r="Q85">
        <f>ABS(M85-N85)</f>
        <v>0.5</v>
      </c>
      <c r="R85" s="13">
        <f>ABS(O85-P85)</f>
        <v>14.799999999999997</v>
      </c>
      <c r="V85" s="12"/>
      <c r="W85">
        <v>8.8000000000000007</v>
      </c>
      <c r="X85">
        <v>8.1999999999999993</v>
      </c>
      <c r="Y85">
        <v>74</v>
      </c>
      <c r="Z85">
        <v>92</v>
      </c>
      <c r="AA85">
        <f>ABS(W85-X85)</f>
        <v>0.60000000000000142</v>
      </c>
      <c r="AB85" s="13">
        <f>ABS(Y85-Z85)</f>
        <v>18</v>
      </c>
      <c r="AG85" s="12"/>
      <c r="AH85">
        <v>8.8000000000000007</v>
      </c>
      <c r="AJ85">
        <v>74</v>
      </c>
      <c r="AK85">
        <v>192.5</v>
      </c>
      <c r="AL85">
        <f>ABS(AH85-AI85)</f>
        <v>8.8000000000000007</v>
      </c>
      <c r="AM85" s="13">
        <f>ABS(AJ85-AK85)</f>
        <v>118.5</v>
      </c>
      <c r="AR85" s="12"/>
      <c r="AS85">
        <v>8.8000000000000007</v>
      </c>
      <c r="AT85">
        <v>8.6</v>
      </c>
      <c r="AU85">
        <v>74</v>
      </c>
      <c r="AV85">
        <v>55.6</v>
      </c>
      <c r="AW85">
        <f>ABS(AS85-AT85)</f>
        <v>0.20000000000000107</v>
      </c>
      <c r="AX85" s="13">
        <f>ABS(AU85-AV85)</f>
        <v>18.399999999999999</v>
      </c>
    </row>
    <row r="86" spans="2:50" x14ac:dyDescent="0.25">
      <c r="B86" s="6"/>
      <c r="C86" s="7">
        <v>8.8000000000000007</v>
      </c>
      <c r="D86" s="7">
        <v>9</v>
      </c>
      <c r="E86" s="7">
        <v>91</v>
      </c>
      <c r="F86" s="7">
        <v>81</v>
      </c>
      <c r="G86" s="7">
        <f>ABS(C86-D86)</f>
        <v>0.19999999999999929</v>
      </c>
      <c r="H86" s="8">
        <f>ABS(E86-F86)</f>
        <v>10</v>
      </c>
      <c r="L86" s="6"/>
      <c r="M86" s="7">
        <v>8.8000000000000007</v>
      </c>
      <c r="N86" s="7">
        <v>8.6</v>
      </c>
      <c r="O86" s="7">
        <v>91</v>
      </c>
      <c r="P86" s="7">
        <v>64.8</v>
      </c>
      <c r="Q86" s="7">
        <f>ABS(M86-N86)</f>
        <v>0.20000000000000107</v>
      </c>
      <c r="R86" s="8">
        <f>ABS(O86-P86)</f>
        <v>26.200000000000003</v>
      </c>
      <c r="V86" s="6"/>
      <c r="W86" s="7">
        <v>8.8000000000000007</v>
      </c>
      <c r="X86" s="7">
        <v>7</v>
      </c>
      <c r="Y86" s="7">
        <v>91</v>
      </c>
      <c r="Z86" s="7">
        <v>93.2</v>
      </c>
      <c r="AA86" s="7">
        <f>ABS(W86-X86)</f>
        <v>1.8000000000000007</v>
      </c>
      <c r="AB86" s="8">
        <f>ABS(Y86-Z86)</f>
        <v>2.2000000000000028</v>
      </c>
      <c r="AG86" s="6"/>
      <c r="AH86" s="7">
        <v>8.8000000000000007</v>
      </c>
      <c r="AI86" s="7"/>
      <c r="AJ86" s="7">
        <v>91</v>
      </c>
      <c r="AK86" s="7">
        <v>116.6</v>
      </c>
      <c r="AL86" s="7">
        <f>ABS(AH86-AI86)</f>
        <v>8.8000000000000007</v>
      </c>
      <c r="AM86" s="8">
        <f>ABS(AJ86-AK86)</f>
        <v>25.599999999999994</v>
      </c>
      <c r="AR86" s="6"/>
      <c r="AS86" s="7">
        <v>8.8000000000000007</v>
      </c>
      <c r="AT86" s="7">
        <v>7.1</v>
      </c>
      <c r="AU86" s="7">
        <v>91</v>
      </c>
      <c r="AV86" s="7">
        <v>72.2</v>
      </c>
      <c r="AW86" s="7">
        <f>ABS(AS86-AT86)</f>
        <v>1.7000000000000011</v>
      </c>
      <c r="AX86" s="8">
        <f>ABS(AU86-AV86)</f>
        <v>18.799999999999997</v>
      </c>
    </row>
    <row r="87" spans="2:50" x14ac:dyDescent="0.25">
      <c r="B87" s="3" t="s">
        <v>32</v>
      </c>
      <c r="C87" s="4">
        <v>16</v>
      </c>
      <c r="D87" s="4">
        <v>15.6</v>
      </c>
      <c r="E87" s="4">
        <v>93</v>
      </c>
      <c r="F87" s="4">
        <v>95.7</v>
      </c>
      <c r="G87" s="4">
        <f t="shared" ref="G87:G116" si="40">ABS(C87-D87)</f>
        <v>0.40000000000000036</v>
      </c>
      <c r="H87" s="5">
        <f t="shared" ref="H87:H122" si="41">ABS(E87-F87)</f>
        <v>2.7000000000000028</v>
      </c>
      <c r="L87" s="3" t="s">
        <v>32</v>
      </c>
      <c r="M87" s="4">
        <v>16</v>
      </c>
      <c r="N87" s="4">
        <v>15.2</v>
      </c>
      <c r="O87" s="4">
        <v>93</v>
      </c>
      <c r="P87" s="4">
        <v>106</v>
      </c>
      <c r="Q87" s="4">
        <f t="shared" ref="Q87:Q122" si="42">ABS(M87-N87)</f>
        <v>0.80000000000000071</v>
      </c>
      <c r="R87" s="5">
        <f t="shared" ref="R87:R122" si="43">ABS(O87-P87)</f>
        <v>13</v>
      </c>
      <c r="V87" s="3" t="s">
        <v>32</v>
      </c>
      <c r="W87" s="4">
        <v>16</v>
      </c>
      <c r="X87" s="4">
        <v>15.2</v>
      </c>
      <c r="Y87" s="4">
        <v>93</v>
      </c>
      <c r="Z87" s="4">
        <v>106.6</v>
      </c>
      <c r="AA87" s="4">
        <f t="shared" ref="AA87:AA119" si="44">ABS(W87-X87)</f>
        <v>0.80000000000000071</v>
      </c>
      <c r="AB87" s="5">
        <f t="shared" ref="AB87:AB122" si="45">ABS(Y87-Z87)</f>
        <v>13.599999999999994</v>
      </c>
      <c r="AG87" s="3" t="s">
        <v>32</v>
      </c>
      <c r="AH87" s="4">
        <v>16</v>
      </c>
      <c r="AI87" s="4"/>
      <c r="AJ87" s="4">
        <v>93</v>
      </c>
      <c r="AK87" s="4">
        <v>133</v>
      </c>
      <c r="AL87" s="4">
        <f t="shared" ref="AL87:AL113" si="46">ABS(AH87-AI87)</f>
        <v>16</v>
      </c>
      <c r="AM87" s="5">
        <f t="shared" ref="AM87:AM113" si="47">ABS(AJ87-AK87)</f>
        <v>40</v>
      </c>
      <c r="AR87" s="3" t="s">
        <v>32</v>
      </c>
      <c r="AS87" s="4">
        <v>16</v>
      </c>
      <c r="AT87" s="4">
        <v>16.600000000000001</v>
      </c>
      <c r="AU87" s="4">
        <v>93</v>
      </c>
      <c r="AV87" s="4">
        <v>106</v>
      </c>
      <c r="AW87" s="4">
        <f t="shared" ref="AW87:AW122" si="48">ABS(AS87-AT87)</f>
        <v>0.60000000000000142</v>
      </c>
      <c r="AX87" s="5">
        <f t="shared" ref="AX87:AX122" si="49">ABS(AU87-AV87)</f>
        <v>13</v>
      </c>
    </row>
    <row r="88" spans="2:50" x14ac:dyDescent="0.25">
      <c r="B88" s="12"/>
      <c r="C88">
        <v>11.6</v>
      </c>
      <c r="D88">
        <v>10.8</v>
      </c>
      <c r="E88">
        <v>69</v>
      </c>
      <c r="F88">
        <v>64</v>
      </c>
      <c r="G88">
        <f t="shared" si="40"/>
        <v>0.79999999999999893</v>
      </c>
      <c r="H88" s="13">
        <f t="shared" si="41"/>
        <v>5</v>
      </c>
      <c r="L88" s="12"/>
      <c r="M88">
        <v>11.6</v>
      </c>
      <c r="N88">
        <v>10.5</v>
      </c>
      <c r="O88">
        <v>69</v>
      </c>
      <c r="P88">
        <v>80</v>
      </c>
      <c r="Q88">
        <f t="shared" si="42"/>
        <v>1.0999999999999996</v>
      </c>
      <c r="R88" s="13">
        <f t="shared" si="43"/>
        <v>11</v>
      </c>
      <c r="V88" s="12"/>
      <c r="W88">
        <v>11.6</v>
      </c>
      <c r="X88">
        <v>10.5</v>
      </c>
      <c r="Y88">
        <v>69</v>
      </c>
      <c r="Z88">
        <v>83.2</v>
      </c>
      <c r="AA88">
        <f t="shared" si="44"/>
        <v>1.0999999999999996</v>
      </c>
      <c r="AB88" s="13">
        <f t="shared" si="45"/>
        <v>14.200000000000003</v>
      </c>
      <c r="AG88" s="12"/>
      <c r="AH88">
        <v>11.6</v>
      </c>
      <c r="AJ88">
        <v>69</v>
      </c>
      <c r="AK88">
        <v>74.5</v>
      </c>
      <c r="AL88">
        <f t="shared" si="46"/>
        <v>11.6</v>
      </c>
      <c r="AM88" s="13">
        <f t="shared" si="47"/>
        <v>5.5</v>
      </c>
      <c r="AR88" s="12"/>
      <c r="AS88">
        <v>11.6</v>
      </c>
      <c r="AT88">
        <v>11.2</v>
      </c>
      <c r="AU88">
        <v>69</v>
      </c>
      <c r="AV88">
        <v>59.1</v>
      </c>
      <c r="AW88">
        <f t="shared" si="48"/>
        <v>0.40000000000000036</v>
      </c>
      <c r="AX88" s="13">
        <f t="shared" si="49"/>
        <v>9.8999999999999986</v>
      </c>
    </row>
    <row r="89" spans="2:50" x14ac:dyDescent="0.25">
      <c r="B89" s="6"/>
      <c r="C89" s="7">
        <v>12.4</v>
      </c>
      <c r="D89" s="7">
        <v>12.2</v>
      </c>
      <c r="E89" s="7">
        <v>77</v>
      </c>
      <c r="F89" s="7">
        <v>65.8</v>
      </c>
      <c r="G89" s="7">
        <f t="shared" si="40"/>
        <v>0.20000000000000107</v>
      </c>
      <c r="H89" s="8">
        <f t="shared" si="41"/>
        <v>11.200000000000003</v>
      </c>
      <c r="L89" s="6"/>
      <c r="M89" s="7">
        <v>12.4</v>
      </c>
      <c r="N89" s="7">
        <v>12.9</v>
      </c>
      <c r="O89" s="7">
        <v>77</v>
      </c>
      <c r="P89" s="7">
        <v>72</v>
      </c>
      <c r="Q89" s="7">
        <f t="shared" si="42"/>
        <v>0.5</v>
      </c>
      <c r="R89" s="8">
        <f t="shared" si="43"/>
        <v>5</v>
      </c>
      <c r="V89" s="6"/>
      <c r="W89" s="7">
        <v>12.4</v>
      </c>
      <c r="X89" s="7">
        <v>12.8</v>
      </c>
      <c r="Y89" s="7">
        <v>77</v>
      </c>
      <c r="Z89" s="7">
        <v>92</v>
      </c>
      <c r="AA89" s="7">
        <f t="shared" si="44"/>
        <v>0.40000000000000036</v>
      </c>
      <c r="AB89" s="8">
        <f t="shared" si="45"/>
        <v>15</v>
      </c>
      <c r="AG89" s="6"/>
      <c r="AH89" s="7">
        <v>12.4</v>
      </c>
      <c r="AI89" s="7"/>
      <c r="AJ89" s="7">
        <v>77</v>
      </c>
      <c r="AK89" s="7">
        <v>67.5</v>
      </c>
      <c r="AL89" s="7">
        <f t="shared" si="46"/>
        <v>12.4</v>
      </c>
      <c r="AM89" s="8">
        <f t="shared" si="47"/>
        <v>9.5</v>
      </c>
      <c r="AR89" s="6"/>
      <c r="AS89" s="7">
        <v>12.4</v>
      </c>
      <c r="AT89" s="7">
        <v>12.2</v>
      </c>
      <c r="AU89" s="7">
        <v>77</v>
      </c>
      <c r="AV89" s="7">
        <v>65.599999999999994</v>
      </c>
      <c r="AW89" s="7">
        <f t="shared" si="48"/>
        <v>0.20000000000000107</v>
      </c>
      <c r="AX89" s="8">
        <f t="shared" si="49"/>
        <v>11.400000000000006</v>
      </c>
    </row>
    <row r="90" spans="2:50" x14ac:dyDescent="0.25">
      <c r="B90" s="3" t="s">
        <v>33</v>
      </c>
      <c r="C90" s="4">
        <v>10.4</v>
      </c>
      <c r="D90" s="4">
        <v>10.1</v>
      </c>
      <c r="E90" s="4">
        <v>75</v>
      </c>
      <c r="F90" s="4">
        <v>67.2</v>
      </c>
      <c r="G90" s="4">
        <f t="shared" si="40"/>
        <v>0.30000000000000071</v>
      </c>
      <c r="H90" s="5">
        <f t="shared" si="41"/>
        <v>7.7999999999999972</v>
      </c>
      <c r="L90" s="3" t="s">
        <v>33</v>
      </c>
      <c r="M90" s="4">
        <v>10.4</v>
      </c>
      <c r="N90" s="4">
        <v>10</v>
      </c>
      <c r="O90" s="4">
        <v>75</v>
      </c>
      <c r="P90" s="4">
        <v>67.599999999999994</v>
      </c>
      <c r="Q90" s="4">
        <f t="shared" si="42"/>
        <v>0.40000000000000036</v>
      </c>
      <c r="R90" s="5">
        <f t="shared" si="43"/>
        <v>7.4000000000000057</v>
      </c>
      <c r="V90" s="3" t="s">
        <v>33</v>
      </c>
      <c r="W90" s="4">
        <v>10.4</v>
      </c>
      <c r="X90" s="4">
        <v>10.5</v>
      </c>
      <c r="Y90" s="4">
        <v>75</v>
      </c>
      <c r="Z90" s="4">
        <v>76.599999999999994</v>
      </c>
      <c r="AA90" s="4">
        <f t="shared" si="44"/>
        <v>9.9999999999999645E-2</v>
      </c>
      <c r="AB90" s="5">
        <f t="shared" si="45"/>
        <v>1.5999999999999943</v>
      </c>
      <c r="AG90" s="3" t="s">
        <v>33</v>
      </c>
      <c r="AH90" s="4">
        <v>10.4</v>
      </c>
      <c r="AI90" s="4"/>
      <c r="AJ90" s="4">
        <v>75</v>
      </c>
      <c r="AK90" s="4">
        <v>71</v>
      </c>
      <c r="AL90" s="4">
        <f t="shared" si="46"/>
        <v>10.4</v>
      </c>
      <c r="AM90" s="5">
        <f t="shared" si="47"/>
        <v>4</v>
      </c>
      <c r="AR90" s="3" t="s">
        <v>33</v>
      </c>
      <c r="AS90" s="4">
        <v>10.4</v>
      </c>
      <c r="AT90" s="4">
        <v>10.199999999999999</v>
      </c>
      <c r="AU90" s="4">
        <v>75</v>
      </c>
      <c r="AV90" s="4">
        <v>67.599999999999994</v>
      </c>
      <c r="AW90" s="4">
        <f t="shared" si="48"/>
        <v>0.20000000000000107</v>
      </c>
      <c r="AX90" s="5">
        <f t="shared" si="49"/>
        <v>7.4000000000000057</v>
      </c>
    </row>
    <row r="91" spans="2:50" x14ac:dyDescent="0.25">
      <c r="B91" s="12"/>
      <c r="C91">
        <v>9.6</v>
      </c>
      <c r="D91">
        <v>8.9</v>
      </c>
      <c r="E91">
        <v>92</v>
      </c>
      <c r="F91">
        <v>82.3</v>
      </c>
      <c r="G91">
        <f t="shared" si="40"/>
        <v>0.69999999999999929</v>
      </c>
      <c r="H91" s="13">
        <f t="shared" si="41"/>
        <v>9.7000000000000028</v>
      </c>
      <c r="L91" s="12"/>
      <c r="M91">
        <v>9.6</v>
      </c>
      <c r="N91">
        <v>9.5</v>
      </c>
      <c r="O91">
        <v>92</v>
      </c>
      <c r="P91">
        <v>98</v>
      </c>
      <c r="Q91">
        <f t="shared" si="42"/>
        <v>9.9999999999999645E-2</v>
      </c>
      <c r="R91" s="13">
        <f t="shared" si="43"/>
        <v>6</v>
      </c>
      <c r="V91" s="12"/>
      <c r="W91">
        <v>9.6</v>
      </c>
      <c r="X91">
        <v>8.1999999999999993</v>
      </c>
      <c r="Y91">
        <v>92</v>
      </c>
      <c r="Z91">
        <v>96.4</v>
      </c>
      <c r="AA91">
        <f t="shared" si="44"/>
        <v>1.4000000000000004</v>
      </c>
      <c r="AB91" s="13">
        <f t="shared" si="45"/>
        <v>4.4000000000000057</v>
      </c>
      <c r="AG91" s="12"/>
      <c r="AH91">
        <v>9.6</v>
      </c>
      <c r="AJ91">
        <v>92</v>
      </c>
      <c r="AK91">
        <v>78.3</v>
      </c>
      <c r="AL91">
        <f t="shared" si="46"/>
        <v>9.6</v>
      </c>
      <c r="AM91" s="13">
        <f t="shared" si="47"/>
        <v>13.700000000000003</v>
      </c>
      <c r="AR91" s="12"/>
      <c r="AS91">
        <v>9.6</v>
      </c>
      <c r="AT91">
        <v>8.5</v>
      </c>
      <c r="AU91">
        <v>92</v>
      </c>
      <c r="AV91">
        <v>64.3</v>
      </c>
      <c r="AW91">
        <f t="shared" si="48"/>
        <v>1.0999999999999996</v>
      </c>
      <c r="AX91" s="13">
        <f t="shared" si="49"/>
        <v>27.700000000000003</v>
      </c>
    </row>
    <row r="92" spans="2:50" x14ac:dyDescent="0.25">
      <c r="B92" s="6"/>
      <c r="C92" s="7">
        <v>10.4</v>
      </c>
      <c r="D92" s="7">
        <v>9.6999999999999993</v>
      </c>
      <c r="E92" s="7">
        <v>72</v>
      </c>
      <c r="F92" s="7">
        <v>65.5</v>
      </c>
      <c r="G92" s="7">
        <f t="shared" si="40"/>
        <v>0.70000000000000107</v>
      </c>
      <c r="H92" s="8">
        <f t="shared" si="41"/>
        <v>6.5</v>
      </c>
      <c r="L92" s="6"/>
      <c r="M92" s="7">
        <v>10.4</v>
      </c>
      <c r="N92" s="7">
        <v>9.8000000000000007</v>
      </c>
      <c r="O92" s="7">
        <v>72</v>
      </c>
      <c r="P92" s="7">
        <v>72</v>
      </c>
      <c r="Q92" s="7">
        <f t="shared" si="42"/>
        <v>0.59999999999999964</v>
      </c>
      <c r="R92" s="8">
        <f t="shared" si="43"/>
        <v>0</v>
      </c>
      <c r="V92" s="6"/>
      <c r="W92" s="7">
        <v>10.4</v>
      </c>
      <c r="X92" s="7">
        <v>9.4</v>
      </c>
      <c r="Y92" s="7">
        <v>72</v>
      </c>
      <c r="Z92" s="7">
        <v>82.9</v>
      </c>
      <c r="AA92" s="7">
        <f t="shared" si="44"/>
        <v>1</v>
      </c>
      <c r="AB92" s="8">
        <f t="shared" si="45"/>
        <v>10.900000000000006</v>
      </c>
      <c r="AG92" s="6"/>
      <c r="AH92" s="7">
        <v>10.4</v>
      </c>
      <c r="AI92" s="7"/>
      <c r="AJ92" s="7">
        <v>72</v>
      </c>
      <c r="AK92" s="7">
        <v>159</v>
      </c>
      <c r="AL92" s="7">
        <f t="shared" si="46"/>
        <v>10.4</v>
      </c>
      <c r="AM92" s="8">
        <f t="shared" si="47"/>
        <v>87</v>
      </c>
      <c r="AR92" s="6"/>
      <c r="AS92" s="7">
        <v>10.4</v>
      </c>
      <c r="AT92" s="7">
        <v>9.6</v>
      </c>
      <c r="AU92" s="7">
        <v>72</v>
      </c>
      <c r="AV92" s="7">
        <v>53.6</v>
      </c>
      <c r="AW92" s="7">
        <f t="shared" si="48"/>
        <v>0.80000000000000071</v>
      </c>
      <c r="AX92" s="8">
        <f t="shared" si="49"/>
        <v>18.399999999999999</v>
      </c>
    </row>
    <row r="93" spans="2:50" x14ac:dyDescent="0.25">
      <c r="B93" s="3" t="s">
        <v>34</v>
      </c>
      <c r="C93" s="4">
        <v>10.4</v>
      </c>
      <c r="D93" s="4">
        <v>9.1999999999999993</v>
      </c>
      <c r="E93" s="4">
        <v>95</v>
      </c>
      <c r="F93" s="4">
        <v>81.2</v>
      </c>
      <c r="G93" s="4">
        <f t="shared" si="40"/>
        <v>1.2000000000000011</v>
      </c>
      <c r="H93" s="5">
        <f t="shared" si="41"/>
        <v>13.799999999999997</v>
      </c>
      <c r="L93" s="3" t="s">
        <v>34</v>
      </c>
      <c r="M93" s="4">
        <v>10.4</v>
      </c>
      <c r="N93" s="4">
        <v>9.9</v>
      </c>
      <c r="O93" s="4">
        <v>95</v>
      </c>
      <c r="P93" s="4">
        <v>64.8</v>
      </c>
      <c r="Q93" s="4">
        <f t="shared" si="42"/>
        <v>0.5</v>
      </c>
      <c r="R93" s="5">
        <f t="shared" si="43"/>
        <v>30.200000000000003</v>
      </c>
      <c r="V93" s="3" t="s">
        <v>34</v>
      </c>
      <c r="W93" s="4">
        <v>10.4</v>
      </c>
      <c r="X93" s="4">
        <v>10.3</v>
      </c>
      <c r="Y93" s="4">
        <v>95</v>
      </c>
      <c r="Z93" s="4">
        <v>95.8</v>
      </c>
      <c r="AA93" s="4">
        <f t="shared" si="44"/>
        <v>9.9999999999999645E-2</v>
      </c>
      <c r="AB93" s="5">
        <f t="shared" si="45"/>
        <v>0.79999999999999716</v>
      </c>
      <c r="AG93" s="3" t="s">
        <v>34</v>
      </c>
      <c r="AH93" s="4">
        <v>10.4</v>
      </c>
      <c r="AI93" s="4"/>
      <c r="AJ93" s="4">
        <v>95</v>
      </c>
      <c r="AK93" s="4">
        <v>76.3</v>
      </c>
      <c r="AL93" s="4">
        <f t="shared" si="46"/>
        <v>10.4</v>
      </c>
      <c r="AM93" s="5">
        <f t="shared" si="47"/>
        <v>18.700000000000003</v>
      </c>
      <c r="AR93" s="3" t="s">
        <v>34</v>
      </c>
      <c r="AS93" s="4">
        <v>10.4</v>
      </c>
      <c r="AT93" s="4">
        <v>10</v>
      </c>
      <c r="AU93" s="4">
        <v>95</v>
      </c>
      <c r="AV93" s="4">
        <v>71.400000000000006</v>
      </c>
      <c r="AW93" s="4">
        <f t="shared" si="48"/>
        <v>0.40000000000000036</v>
      </c>
      <c r="AX93" s="5">
        <f t="shared" si="49"/>
        <v>23.599999999999994</v>
      </c>
    </row>
    <row r="94" spans="2:50" x14ac:dyDescent="0.25">
      <c r="B94" s="12"/>
      <c r="C94">
        <v>10.4</v>
      </c>
      <c r="D94">
        <v>10.4</v>
      </c>
      <c r="E94">
        <v>72</v>
      </c>
      <c r="F94">
        <v>72.8</v>
      </c>
      <c r="G94">
        <f t="shared" si="40"/>
        <v>0</v>
      </c>
      <c r="H94" s="13">
        <f t="shared" si="41"/>
        <v>0.79999999999999716</v>
      </c>
      <c r="L94" s="12"/>
      <c r="M94">
        <v>10.4</v>
      </c>
      <c r="N94">
        <v>9.6999999999999993</v>
      </c>
      <c r="O94">
        <v>72</v>
      </c>
      <c r="P94">
        <v>64.400000000000006</v>
      </c>
      <c r="Q94">
        <f t="shared" si="42"/>
        <v>0.70000000000000107</v>
      </c>
      <c r="R94" s="13">
        <f t="shared" si="43"/>
        <v>7.5999999999999943</v>
      </c>
      <c r="V94" s="12"/>
      <c r="W94">
        <v>10.4</v>
      </c>
      <c r="X94">
        <v>9.4</v>
      </c>
      <c r="Y94">
        <v>72</v>
      </c>
      <c r="Z94">
        <v>92.3</v>
      </c>
      <c r="AA94">
        <f t="shared" si="44"/>
        <v>1</v>
      </c>
      <c r="AB94" s="13">
        <f t="shared" si="45"/>
        <v>20.299999999999997</v>
      </c>
      <c r="AG94" s="12"/>
      <c r="AH94">
        <v>10.4</v>
      </c>
      <c r="AJ94">
        <v>72</v>
      </c>
      <c r="AK94">
        <v>72</v>
      </c>
      <c r="AL94">
        <f t="shared" si="46"/>
        <v>10.4</v>
      </c>
      <c r="AM94" s="13">
        <f t="shared" si="47"/>
        <v>0</v>
      </c>
      <c r="AR94" s="12"/>
      <c r="AS94">
        <v>10.4</v>
      </c>
      <c r="AT94">
        <v>10</v>
      </c>
      <c r="AU94">
        <v>72</v>
      </c>
      <c r="AV94">
        <v>62.6</v>
      </c>
      <c r="AW94">
        <f t="shared" si="48"/>
        <v>0.40000000000000036</v>
      </c>
      <c r="AX94" s="13">
        <f t="shared" si="49"/>
        <v>9.3999999999999986</v>
      </c>
    </row>
    <row r="95" spans="2:50" x14ac:dyDescent="0.25">
      <c r="B95" s="6"/>
      <c r="C95" s="7">
        <v>11.2</v>
      </c>
      <c r="D95">
        <v>10.9</v>
      </c>
      <c r="E95" s="7">
        <v>79</v>
      </c>
      <c r="F95" s="7">
        <v>69</v>
      </c>
      <c r="G95" s="7">
        <f t="shared" si="40"/>
        <v>0.29999999999999893</v>
      </c>
      <c r="H95" s="8">
        <f t="shared" si="41"/>
        <v>10</v>
      </c>
      <c r="L95" s="6"/>
      <c r="M95" s="7">
        <v>11.2</v>
      </c>
      <c r="N95">
        <v>10.3</v>
      </c>
      <c r="O95" s="7">
        <v>79</v>
      </c>
      <c r="P95" s="7">
        <v>75.5</v>
      </c>
      <c r="Q95" s="7">
        <f t="shared" si="42"/>
        <v>0.89999999999999858</v>
      </c>
      <c r="R95" s="8">
        <f t="shared" si="43"/>
        <v>3.5</v>
      </c>
      <c r="V95" s="6"/>
      <c r="W95" s="7">
        <v>11.2</v>
      </c>
      <c r="X95">
        <v>10.5</v>
      </c>
      <c r="Y95" s="7">
        <v>79</v>
      </c>
      <c r="Z95" s="7">
        <v>81.7</v>
      </c>
      <c r="AA95" s="7">
        <f t="shared" si="44"/>
        <v>0.69999999999999929</v>
      </c>
      <c r="AB95" s="8">
        <f t="shared" si="45"/>
        <v>2.7000000000000028</v>
      </c>
      <c r="AG95" s="6"/>
      <c r="AH95" s="7">
        <v>11.2</v>
      </c>
      <c r="AJ95" s="7">
        <v>79</v>
      </c>
      <c r="AK95" s="7">
        <v>121</v>
      </c>
      <c r="AL95" s="7">
        <f t="shared" si="46"/>
        <v>11.2</v>
      </c>
      <c r="AM95" s="8">
        <f t="shared" si="47"/>
        <v>42</v>
      </c>
      <c r="AR95" s="6"/>
      <c r="AS95" s="7">
        <v>11.2</v>
      </c>
      <c r="AT95">
        <v>11.2</v>
      </c>
      <c r="AU95" s="7">
        <v>79</v>
      </c>
      <c r="AV95" s="7">
        <v>68.8</v>
      </c>
      <c r="AW95" s="7">
        <f t="shared" si="48"/>
        <v>0</v>
      </c>
      <c r="AX95" s="8">
        <f t="shared" si="49"/>
        <v>10.200000000000003</v>
      </c>
    </row>
    <row r="96" spans="2:50" x14ac:dyDescent="0.25">
      <c r="B96" s="3" t="s">
        <v>35</v>
      </c>
      <c r="C96" s="4">
        <v>10</v>
      </c>
      <c r="D96" s="4">
        <v>8.6</v>
      </c>
      <c r="E96" s="4">
        <v>75</v>
      </c>
      <c r="F96" s="4">
        <v>76.400000000000006</v>
      </c>
      <c r="G96" s="4">
        <f t="shared" si="40"/>
        <v>1.4000000000000004</v>
      </c>
      <c r="H96" s="5">
        <f t="shared" si="41"/>
        <v>1.4000000000000057</v>
      </c>
      <c r="L96" s="3" t="s">
        <v>35</v>
      </c>
      <c r="M96" s="4">
        <v>10</v>
      </c>
      <c r="N96" s="4">
        <v>9.5</v>
      </c>
      <c r="O96" s="4">
        <v>75</v>
      </c>
      <c r="P96" s="4">
        <v>89.2</v>
      </c>
      <c r="Q96" s="4">
        <f t="shared" si="42"/>
        <v>0.5</v>
      </c>
      <c r="R96" s="5">
        <f t="shared" si="43"/>
        <v>14.200000000000003</v>
      </c>
      <c r="V96" s="3" t="s">
        <v>35</v>
      </c>
      <c r="W96" s="4">
        <v>10</v>
      </c>
      <c r="X96" s="4">
        <v>8.1999999999999993</v>
      </c>
      <c r="Y96" s="4">
        <v>75</v>
      </c>
      <c r="Z96" s="4">
        <v>91.7</v>
      </c>
      <c r="AA96" s="4">
        <f t="shared" si="44"/>
        <v>1.8000000000000007</v>
      </c>
      <c r="AB96" s="5">
        <f t="shared" si="45"/>
        <v>16.700000000000003</v>
      </c>
      <c r="AG96" s="3" t="s">
        <v>35</v>
      </c>
      <c r="AH96" s="4">
        <v>10</v>
      </c>
      <c r="AI96" s="4"/>
      <c r="AJ96" s="4">
        <v>75</v>
      </c>
      <c r="AK96" s="4">
        <v>111</v>
      </c>
      <c r="AL96" s="4">
        <f t="shared" si="46"/>
        <v>10</v>
      </c>
      <c r="AM96" s="5">
        <f t="shared" si="47"/>
        <v>36</v>
      </c>
      <c r="AR96" s="3" t="s">
        <v>35</v>
      </c>
      <c r="AS96" s="4">
        <v>10</v>
      </c>
      <c r="AT96" s="4">
        <v>9.1999999999999993</v>
      </c>
      <c r="AU96" s="4">
        <v>75</v>
      </c>
      <c r="AV96" s="4">
        <v>55.2</v>
      </c>
      <c r="AW96" s="4">
        <f t="shared" si="48"/>
        <v>0.80000000000000071</v>
      </c>
      <c r="AX96" s="5">
        <f t="shared" si="49"/>
        <v>19.799999999999997</v>
      </c>
    </row>
    <row r="97" spans="2:50" x14ac:dyDescent="0.25">
      <c r="B97" s="12"/>
      <c r="C97">
        <v>10</v>
      </c>
      <c r="D97">
        <v>10</v>
      </c>
      <c r="E97">
        <v>67</v>
      </c>
      <c r="F97">
        <v>78.099999999999994</v>
      </c>
      <c r="G97">
        <f t="shared" si="40"/>
        <v>0</v>
      </c>
      <c r="H97" s="13">
        <f t="shared" si="41"/>
        <v>11.099999999999994</v>
      </c>
      <c r="L97" s="12"/>
      <c r="M97">
        <v>10</v>
      </c>
      <c r="N97">
        <v>10</v>
      </c>
      <c r="O97">
        <v>67</v>
      </c>
      <c r="P97">
        <v>52.8</v>
      </c>
      <c r="Q97">
        <f t="shared" si="42"/>
        <v>0</v>
      </c>
      <c r="R97" s="13">
        <f t="shared" si="43"/>
        <v>14.200000000000003</v>
      </c>
      <c r="V97" s="12"/>
      <c r="W97">
        <v>10</v>
      </c>
      <c r="X97">
        <v>10.5</v>
      </c>
      <c r="Y97">
        <v>67</v>
      </c>
      <c r="Z97">
        <v>90.8</v>
      </c>
      <c r="AA97">
        <f t="shared" si="44"/>
        <v>0.5</v>
      </c>
      <c r="AB97" s="13">
        <f t="shared" si="45"/>
        <v>23.799999999999997</v>
      </c>
      <c r="AG97" s="12"/>
      <c r="AH97">
        <v>10</v>
      </c>
      <c r="AJ97">
        <v>67</v>
      </c>
      <c r="AK97">
        <v>69.599999999999994</v>
      </c>
      <c r="AL97">
        <f t="shared" si="46"/>
        <v>10</v>
      </c>
      <c r="AM97" s="13">
        <f t="shared" si="47"/>
        <v>2.5999999999999943</v>
      </c>
      <c r="AR97" s="12"/>
      <c r="AS97">
        <v>10</v>
      </c>
      <c r="AT97">
        <v>10.199999999999999</v>
      </c>
      <c r="AU97">
        <v>67</v>
      </c>
      <c r="AV97">
        <v>64.400000000000006</v>
      </c>
      <c r="AW97">
        <f t="shared" si="48"/>
        <v>0.19999999999999929</v>
      </c>
      <c r="AX97" s="13">
        <f t="shared" si="49"/>
        <v>2.5999999999999943</v>
      </c>
    </row>
    <row r="98" spans="2:50" x14ac:dyDescent="0.25">
      <c r="B98" s="6"/>
      <c r="C98" s="7">
        <v>10.4</v>
      </c>
      <c r="D98" s="7">
        <v>9.6</v>
      </c>
      <c r="E98" s="7">
        <v>91</v>
      </c>
      <c r="F98" s="7">
        <v>71</v>
      </c>
      <c r="G98">
        <f t="shared" si="40"/>
        <v>0.80000000000000071</v>
      </c>
      <c r="H98" s="13">
        <f t="shared" si="41"/>
        <v>20</v>
      </c>
      <c r="L98" s="6"/>
      <c r="M98" s="7">
        <v>10.4</v>
      </c>
      <c r="N98" s="7">
        <v>9.6</v>
      </c>
      <c r="O98" s="7">
        <v>91</v>
      </c>
      <c r="P98" s="7">
        <v>61.2</v>
      </c>
      <c r="Q98" s="7">
        <f t="shared" si="42"/>
        <v>0.80000000000000071</v>
      </c>
      <c r="R98" s="8">
        <f t="shared" si="43"/>
        <v>29.799999999999997</v>
      </c>
      <c r="V98" s="6"/>
      <c r="W98" s="7">
        <v>10.4</v>
      </c>
      <c r="X98" s="7">
        <v>8.8000000000000007</v>
      </c>
      <c r="Y98" s="7">
        <v>91</v>
      </c>
      <c r="Z98" s="7">
        <v>93.5</v>
      </c>
      <c r="AA98" s="7">
        <f t="shared" si="44"/>
        <v>1.5999999999999996</v>
      </c>
      <c r="AB98" s="8">
        <f t="shared" si="45"/>
        <v>2.5</v>
      </c>
      <c r="AG98" s="6"/>
      <c r="AH98" s="7">
        <v>10.4</v>
      </c>
      <c r="AI98" s="7"/>
      <c r="AJ98" s="7">
        <v>91</v>
      </c>
      <c r="AK98" s="7">
        <v>163</v>
      </c>
      <c r="AL98" s="7">
        <f t="shared" si="46"/>
        <v>10.4</v>
      </c>
      <c r="AM98" s="8">
        <f t="shared" si="47"/>
        <v>72</v>
      </c>
      <c r="AR98" s="6"/>
      <c r="AS98" s="7">
        <v>10.4</v>
      </c>
      <c r="AT98" s="7">
        <v>9.6999999999999993</v>
      </c>
      <c r="AU98" s="7">
        <v>91</v>
      </c>
      <c r="AV98" s="7">
        <v>64.900000000000006</v>
      </c>
      <c r="AW98" s="7">
        <f t="shared" si="48"/>
        <v>0.70000000000000107</v>
      </c>
      <c r="AX98" s="8">
        <f t="shared" si="49"/>
        <v>26.099999999999994</v>
      </c>
    </row>
    <row r="99" spans="2:50" x14ac:dyDescent="0.25">
      <c r="B99" s="3" t="s">
        <v>90</v>
      </c>
      <c r="C99" s="4">
        <v>8</v>
      </c>
      <c r="D99" s="4">
        <v>8</v>
      </c>
      <c r="E99" s="4">
        <v>90</v>
      </c>
      <c r="F99" s="4">
        <v>66.8</v>
      </c>
      <c r="G99" s="4">
        <f t="shared" si="40"/>
        <v>0</v>
      </c>
      <c r="H99" s="5">
        <f t="shared" si="41"/>
        <v>23.200000000000003</v>
      </c>
      <c r="L99" s="3" t="s">
        <v>90</v>
      </c>
      <c r="M99" s="4">
        <v>8</v>
      </c>
      <c r="N99" s="4">
        <v>9.5</v>
      </c>
      <c r="O99" s="4">
        <v>90</v>
      </c>
      <c r="P99" s="4">
        <v>60.4</v>
      </c>
      <c r="Q99" s="4">
        <f t="shared" si="42"/>
        <v>1.5</v>
      </c>
      <c r="R99" s="5">
        <f t="shared" si="43"/>
        <v>29.6</v>
      </c>
      <c r="V99" s="3" t="s">
        <v>90</v>
      </c>
      <c r="W99" s="4">
        <v>8</v>
      </c>
      <c r="X99" s="4">
        <v>7</v>
      </c>
      <c r="Y99" s="4">
        <v>90</v>
      </c>
      <c r="Z99" s="4">
        <v>95.8</v>
      </c>
      <c r="AA99" s="4">
        <f t="shared" si="44"/>
        <v>1</v>
      </c>
      <c r="AB99" s="5">
        <f t="shared" si="45"/>
        <v>5.7999999999999972</v>
      </c>
      <c r="AG99" s="3" t="s">
        <v>90</v>
      </c>
      <c r="AH99" s="4">
        <v>8</v>
      </c>
      <c r="AI99" s="4"/>
      <c r="AJ99" s="4">
        <v>90</v>
      </c>
      <c r="AK99" s="4">
        <v>67.3</v>
      </c>
      <c r="AL99" s="4">
        <f t="shared" si="46"/>
        <v>8</v>
      </c>
      <c r="AM99" s="5">
        <f t="shared" si="47"/>
        <v>22.700000000000003</v>
      </c>
      <c r="AR99" s="3" t="s">
        <v>90</v>
      </c>
      <c r="AS99" s="4">
        <v>8</v>
      </c>
      <c r="AT99" s="4">
        <v>10.1</v>
      </c>
      <c r="AU99" s="4">
        <v>90</v>
      </c>
      <c r="AV99" s="4">
        <v>67.8</v>
      </c>
      <c r="AW99" s="4">
        <f t="shared" si="48"/>
        <v>2.0999999999999996</v>
      </c>
      <c r="AX99" s="5">
        <f t="shared" si="49"/>
        <v>22.200000000000003</v>
      </c>
    </row>
    <row r="100" spans="2:50" x14ac:dyDescent="0.25">
      <c r="B100" s="12"/>
      <c r="C100">
        <v>9.6</v>
      </c>
      <c r="D100">
        <v>8.8000000000000007</v>
      </c>
      <c r="E100">
        <v>67</v>
      </c>
      <c r="F100">
        <v>67</v>
      </c>
      <c r="G100">
        <f t="shared" si="40"/>
        <v>0.79999999999999893</v>
      </c>
      <c r="H100" s="13">
        <f t="shared" si="41"/>
        <v>0</v>
      </c>
      <c r="L100" s="12"/>
      <c r="M100">
        <v>9.6</v>
      </c>
      <c r="N100">
        <v>9.6</v>
      </c>
      <c r="O100">
        <v>67</v>
      </c>
      <c r="P100">
        <v>48.8</v>
      </c>
      <c r="Q100">
        <f t="shared" si="42"/>
        <v>0</v>
      </c>
      <c r="R100" s="13">
        <f t="shared" si="43"/>
        <v>18.200000000000003</v>
      </c>
      <c r="V100" s="12"/>
      <c r="W100">
        <v>9.6</v>
      </c>
      <c r="X100">
        <v>9.4</v>
      </c>
      <c r="Y100">
        <v>67</v>
      </c>
      <c r="Z100">
        <v>83.8</v>
      </c>
      <c r="AA100">
        <f t="shared" si="44"/>
        <v>0.19999999999999929</v>
      </c>
      <c r="AB100" s="13">
        <f t="shared" si="45"/>
        <v>16.799999999999997</v>
      </c>
      <c r="AG100" s="12"/>
      <c r="AH100">
        <v>9.6</v>
      </c>
      <c r="AJ100">
        <v>67</v>
      </c>
      <c r="AK100">
        <v>155</v>
      </c>
      <c r="AL100">
        <f t="shared" si="46"/>
        <v>9.6</v>
      </c>
      <c r="AM100" s="13">
        <f t="shared" si="47"/>
        <v>88</v>
      </c>
      <c r="AR100" s="12"/>
      <c r="AS100">
        <v>9.6</v>
      </c>
      <c r="AT100">
        <v>9.4</v>
      </c>
      <c r="AU100">
        <v>67</v>
      </c>
      <c r="AV100">
        <v>52.4</v>
      </c>
      <c r="AW100">
        <f t="shared" si="48"/>
        <v>0.19999999999999929</v>
      </c>
      <c r="AX100" s="13">
        <f t="shared" si="49"/>
        <v>14.600000000000001</v>
      </c>
    </row>
    <row r="101" spans="2:50" x14ac:dyDescent="0.25">
      <c r="B101" s="6"/>
      <c r="C101" s="7">
        <v>12.8</v>
      </c>
      <c r="D101" s="7">
        <v>10.5</v>
      </c>
      <c r="E101" s="7">
        <v>104</v>
      </c>
      <c r="F101" s="7">
        <v>93</v>
      </c>
      <c r="G101" s="7">
        <f t="shared" si="40"/>
        <v>2.3000000000000007</v>
      </c>
      <c r="H101" s="8">
        <f t="shared" si="41"/>
        <v>11</v>
      </c>
      <c r="L101" s="6"/>
      <c r="M101" s="7">
        <v>12.8</v>
      </c>
      <c r="N101" s="7">
        <v>10</v>
      </c>
      <c r="O101" s="7">
        <v>104</v>
      </c>
      <c r="P101" s="7">
        <v>103.6</v>
      </c>
      <c r="Q101" s="7">
        <f t="shared" si="42"/>
        <v>2.8000000000000007</v>
      </c>
      <c r="R101" s="8">
        <f t="shared" si="43"/>
        <v>0.40000000000000568</v>
      </c>
      <c r="V101" s="6"/>
      <c r="W101" s="7">
        <v>12.8</v>
      </c>
      <c r="X101" s="7">
        <v>10.5</v>
      </c>
      <c r="Y101" s="7">
        <v>104</v>
      </c>
      <c r="Z101" s="7">
        <v>96.7</v>
      </c>
      <c r="AA101" s="7">
        <f t="shared" si="44"/>
        <v>2.3000000000000007</v>
      </c>
      <c r="AB101" s="8">
        <f t="shared" si="45"/>
        <v>7.2999999999999972</v>
      </c>
      <c r="AG101" s="6"/>
      <c r="AH101" s="7">
        <v>12.8</v>
      </c>
      <c r="AI101" s="7"/>
      <c r="AJ101" s="7">
        <v>104</v>
      </c>
      <c r="AK101" s="7">
        <v>103.3</v>
      </c>
      <c r="AL101" s="7">
        <f t="shared" si="46"/>
        <v>12.8</v>
      </c>
      <c r="AM101" s="8">
        <f t="shared" si="47"/>
        <v>0.70000000000000284</v>
      </c>
      <c r="AR101" s="6"/>
      <c r="AS101" s="7">
        <v>12.8</v>
      </c>
      <c r="AT101" s="7">
        <v>12.8</v>
      </c>
      <c r="AU101" s="7">
        <v>104</v>
      </c>
      <c r="AV101" s="7">
        <v>91.7</v>
      </c>
      <c r="AW101" s="7">
        <f t="shared" si="48"/>
        <v>0</v>
      </c>
      <c r="AX101" s="8">
        <f t="shared" si="49"/>
        <v>12.299999999999997</v>
      </c>
    </row>
    <row r="102" spans="2:50" x14ac:dyDescent="0.25">
      <c r="B102" s="3" t="s">
        <v>91</v>
      </c>
      <c r="C102" s="4">
        <v>8</v>
      </c>
      <c r="D102" s="4">
        <v>8.5</v>
      </c>
      <c r="E102" s="4">
        <v>99</v>
      </c>
      <c r="F102" s="4">
        <v>87.8</v>
      </c>
      <c r="G102" s="4">
        <f t="shared" si="40"/>
        <v>0.5</v>
      </c>
      <c r="H102" s="5">
        <f t="shared" si="41"/>
        <v>11.200000000000003</v>
      </c>
      <c r="L102" s="3" t="s">
        <v>91</v>
      </c>
      <c r="M102" s="4">
        <v>8</v>
      </c>
      <c r="N102" s="4">
        <v>9.4</v>
      </c>
      <c r="O102" s="4">
        <v>99</v>
      </c>
      <c r="P102" s="4">
        <v>93.2</v>
      </c>
      <c r="Q102" s="4">
        <f t="shared" si="42"/>
        <v>1.4000000000000004</v>
      </c>
      <c r="R102" s="5">
        <f t="shared" si="43"/>
        <v>5.7999999999999972</v>
      </c>
      <c r="V102" s="3" t="s">
        <v>91</v>
      </c>
      <c r="W102" s="4">
        <v>8</v>
      </c>
      <c r="X102" s="4">
        <v>7.6</v>
      </c>
      <c r="Y102" s="4">
        <v>99</v>
      </c>
      <c r="Z102" s="4">
        <v>89.9</v>
      </c>
      <c r="AA102" s="4">
        <f t="shared" si="44"/>
        <v>0.40000000000000036</v>
      </c>
      <c r="AB102" s="5">
        <f t="shared" si="45"/>
        <v>9.0999999999999943</v>
      </c>
      <c r="AG102" s="3" t="s">
        <v>91</v>
      </c>
      <c r="AH102" s="4">
        <v>8</v>
      </c>
      <c r="AI102" s="4"/>
      <c r="AJ102" s="4">
        <v>99</v>
      </c>
      <c r="AK102" s="4">
        <v>93</v>
      </c>
      <c r="AL102" s="4">
        <f t="shared" si="46"/>
        <v>8</v>
      </c>
      <c r="AM102" s="5">
        <f t="shared" si="47"/>
        <v>6</v>
      </c>
      <c r="AR102" s="3" t="s">
        <v>91</v>
      </c>
      <c r="AS102" s="4">
        <v>8</v>
      </c>
      <c r="AT102" s="4">
        <v>9.6</v>
      </c>
      <c r="AU102" s="4">
        <v>99</v>
      </c>
      <c r="AV102" s="4">
        <v>74.400000000000006</v>
      </c>
      <c r="AW102" s="4">
        <f t="shared" si="48"/>
        <v>1.5999999999999996</v>
      </c>
      <c r="AX102" s="5">
        <f t="shared" si="49"/>
        <v>24.599999999999994</v>
      </c>
    </row>
    <row r="103" spans="2:50" x14ac:dyDescent="0.25">
      <c r="B103" s="12"/>
      <c r="C103">
        <v>8.8000000000000007</v>
      </c>
      <c r="D103">
        <v>8.6</v>
      </c>
      <c r="E103">
        <v>69</v>
      </c>
      <c r="F103">
        <v>82.1</v>
      </c>
      <c r="G103">
        <f t="shared" si="40"/>
        <v>0.20000000000000107</v>
      </c>
      <c r="H103" s="13">
        <f t="shared" si="41"/>
        <v>13.099999999999994</v>
      </c>
      <c r="L103" s="12"/>
      <c r="M103">
        <v>8.8000000000000007</v>
      </c>
      <c r="N103">
        <v>9.5</v>
      </c>
      <c r="O103">
        <v>69</v>
      </c>
      <c r="P103">
        <v>55.2</v>
      </c>
      <c r="Q103">
        <f t="shared" si="42"/>
        <v>0.69999999999999929</v>
      </c>
      <c r="R103" s="13">
        <f t="shared" si="43"/>
        <v>13.799999999999997</v>
      </c>
      <c r="V103" s="12"/>
      <c r="W103">
        <v>8.8000000000000007</v>
      </c>
      <c r="X103">
        <v>8.5</v>
      </c>
      <c r="Y103">
        <v>69</v>
      </c>
      <c r="Z103">
        <v>102</v>
      </c>
      <c r="AA103">
        <f t="shared" si="44"/>
        <v>0.30000000000000071</v>
      </c>
      <c r="AB103" s="13">
        <f t="shared" si="45"/>
        <v>33</v>
      </c>
      <c r="AG103" s="12"/>
      <c r="AH103">
        <v>8.8000000000000007</v>
      </c>
      <c r="AJ103">
        <v>69</v>
      </c>
      <c r="AK103">
        <v>123.3</v>
      </c>
      <c r="AL103">
        <f t="shared" si="46"/>
        <v>8.8000000000000007</v>
      </c>
      <c r="AM103" s="13">
        <f t="shared" si="47"/>
        <v>54.3</v>
      </c>
      <c r="AR103" s="12"/>
      <c r="AS103">
        <v>8.8000000000000007</v>
      </c>
      <c r="AT103">
        <v>8.8000000000000007</v>
      </c>
      <c r="AU103">
        <v>69</v>
      </c>
      <c r="AV103">
        <v>79.599999999999994</v>
      </c>
      <c r="AW103">
        <f t="shared" si="48"/>
        <v>0</v>
      </c>
      <c r="AX103" s="13">
        <f t="shared" si="49"/>
        <v>10.599999999999994</v>
      </c>
    </row>
    <row r="104" spans="2:50" x14ac:dyDescent="0.25">
      <c r="B104" s="6"/>
      <c r="C104" s="7">
        <v>10.8</v>
      </c>
      <c r="D104" s="7">
        <v>10.1</v>
      </c>
      <c r="E104" s="7">
        <v>100</v>
      </c>
      <c r="F104" s="7">
        <v>85</v>
      </c>
      <c r="G104" s="7">
        <f t="shared" si="40"/>
        <v>0.70000000000000107</v>
      </c>
      <c r="H104" s="8">
        <f t="shared" si="41"/>
        <v>15</v>
      </c>
      <c r="L104" s="6"/>
      <c r="M104" s="7">
        <v>10.8</v>
      </c>
      <c r="N104" s="7">
        <v>10.1</v>
      </c>
      <c r="O104" s="7">
        <v>100</v>
      </c>
      <c r="P104" s="7">
        <v>100.4</v>
      </c>
      <c r="Q104" s="7">
        <f t="shared" si="42"/>
        <v>0.70000000000000107</v>
      </c>
      <c r="R104" s="8">
        <f>ABS(O104-P104)</f>
        <v>0.40000000000000568</v>
      </c>
      <c r="V104" s="6"/>
      <c r="W104" s="7">
        <v>10.8</v>
      </c>
      <c r="X104" s="7">
        <v>10.5</v>
      </c>
      <c r="Y104" s="7">
        <v>100</v>
      </c>
      <c r="Z104" s="7">
        <v>93.2</v>
      </c>
      <c r="AA104" s="7">
        <f t="shared" si="44"/>
        <v>0.30000000000000071</v>
      </c>
      <c r="AB104" s="8">
        <f t="shared" si="45"/>
        <v>6.7999999999999972</v>
      </c>
      <c r="AG104" s="6"/>
      <c r="AH104" s="7">
        <v>10.8</v>
      </c>
      <c r="AI104" s="7"/>
      <c r="AJ104" s="7">
        <v>100</v>
      </c>
      <c r="AK104" s="7">
        <v>103.3</v>
      </c>
      <c r="AL104" s="7">
        <f t="shared" si="46"/>
        <v>10.8</v>
      </c>
      <c r="AM104" s="8">
        <f t="shared" si="47"/>
        <v>3.2999999999999972</v>
      </c>
      <c r="AR104" s="6"/>
      <c r="AS104" s="7">
        <v>10.8</v>
      </c>
      <c r="AT104" s="7">
        <v>11</v>
      </c>
      <c r="AU104" s="7">
        <v>100</v>
      </c>
      <c r="AV104" s="7">
        <v>104.8</v>
      </c>
      <c r="AW104" s="7">
        <f t="shared" si="48"/>
        <v>0.19999999999999929</v>
      </c>
      <c r="AX104" s="8">
        <f t="shared" si="49"/>
        <v>4.7999999999999972</v>
      </c>
    </row>
    <row r="105" spans="2:50" x14ac:dyDescent="0.25">
      <c r="B105" s="3" t="s">
        <v>92</v>
      </c>
      <c r="C105" s="4">
        <v>11.6</v>
      </c>
      <c r="D105" s="4">
        <v>9.9</v>
      </c>
      <c r="E105" s="4">
        <v>93</v>
      </c>
      <c r="F105" s="4">
        <v>76.400000000000006</v>
      </c>
      <c r="G105" s="4">
        <f t="shared" si="40"/>
        <v>1.6999999999999993</v>
      </c>
      <c r="H105" s="5">
        <f t="shared" si="41"/>
        <v>16.599999999999994</v>
      </c>
      <c r="L105" s="3" t="s">
        <v>92</v>
      </c>
      <c r="M105" s="4">
        <v>11.6</v>
      </c>
      <c r="N105" s="4">
        <v>9.8000000000000007</v>
      </c>
      <c r="O105" s="4">
        <v>93</v>
      </c>
      <c r="P105" s="4">
        <v>50</v>
      </c>
      <c r="Q105" s="4">
        <f t="shared" si="42"/>
        <v>1.7999999999999989</v>
      </c>
      <c r="R105" s="5">
        <f>ABS(O105-P105)</f>
        <v>43</v>
      </c>
      <c r="V105" s="3" t="s">
        <v>92</v>
      </c>
      <c r="W105" s="4">
        <v>11.6</v>
      </c>
      <c r="X105" s="4">
        <v>7.6</v>
      </c>
      <c r="Y105" s="4">
        <v>93</v>
      </c>
      <c r="Z105" s="4">
        <v>91.1</v>
      </c>
      <c r="AA105" s="4">
        <f t="shared" si="44"/>
        <v>4</v>
      </c>
      <c r="AB105" s="5">
        <f t="shared" si="45"/>
        <v>1.9000000000000057</v>
      </c>
      <c r="AG105" s="3" t="s">
        <v>92</v>
      </c>
      <c r="AH105" s="4">
        <v>11.6</v>
      </c>
      <c r="AI105" s="4"/>
      <c r="AJ105" s="4">
        <v>93</v>
      </c>
      <c r="AK105" s="4">
        <v>53.3</v>
      </c>
      <c r="AL105" s="4">
        <f t="shared" si="46"/>
        <v>11.6</v>
      </c>
      <c r="AM105" s="5">
        <f t="shared" si="47"/>
        <v>39.700000000000003</v>
      </c>
      <c r="AR105" s="3" t="s">
        <v>92</v>
      </c>
      <c r="AS105" s="4">
        <v>11.6</v>
      </c>
      <c r="AT105" s="4">
        <v>9.4</v>
      </c>
      <c r="AU105" s="4">
        <v>93</v>
      </c>
      <c r="AV105" s="4">
        <v>51.9</v>
      </c>
      <c r="AW105" s="4">
        <f t="shared" si="48"/>
        <v>2.1999999999999993</v>
      </c>
      <c r="AX105" s="5">
        <f t="shared" si="49"/>
        <v>41.1</v>
      </c>
    </row>
    <row r="106" spans="2:50" x14ac:dyDescent="0.25">
      <c r="B106" s="12"/>
      <c r="C106">
        <v>8.8000000000000007</v>
      </c>
      <c r="D106">
        <v>8.6999999999999993</v>
      </c>
      <c r="E106">
        <v>67</v>
      </c>
      <c r="F106">
        <v>72</v>
      </c>
      <c r="G106">
        <f t="shared" si="40"/>
        <v>0.10000000000000142</v>
      </c>
      <c r="H106" s="13">
        <f t="shared" si="41"/>
        <v>5</v>
      </c>
      <c r="L106" s="12"/>
      <c r="M106">
        <v>8.8000000000000007</v>
      </c>
      <c r="N106">
        <v>9.1</v>
      </c>
      <c r="O106">
        <v>67</v>
      </c>
      <c r="P106">
        <v>62.8</v>
      </c>
      <c r="Q106">
        <f t="shared" si="42"/>
        <v>0.29999999999999893</v>
      </c>
      <c r="R106" s="13">
        <f t="shared" si="43"/>
        <v>4.2000000000000028</v>
      </c>
      <c r="V106" s="12"/>
      <c r="W106">
        <v>8.8000000000000007</v>
      </c>
      <c r="X106">
        <v>8.5</v>
      </c>
      <c r="Y106">
        <v>67</v>
      </c>
      <c r="Z106">
        <v>94.3</v>
      </c>
      <c r="AA106">
        <f t="shared" si="44"/>
        <v>0.30000000000000071</v>
      </c>
      <c r="AB106" s="13">
        <f t="shared" si="45"/>
        <v>27.299999999999997</v>
      </c>
      <c r="AG106" s="12"/>
      <c r="AH106">
        <v>8.8000000000000007</v>
      </c>
      <c r="AJ106">
        <v>67</v>
      </c>
      <c r="AK106">
        <v>62.8</v>
      </c>
      <c r="AL106">
        <f t="shared" si="46"/>
        <v>8.8000000000000007</v>
      </c>
      <c r="AM106" s="13">
        <f t="shared" si="47"/>
        <v>4.2000000000000028</v>
      </c>
      <c r="AR106" s="12"/>
      <c r="AS106">
        <v>8.8000000000000007</v>
      </c>
      <c r="AT106">
        <v>8.4</v>
      </c>
      <c r="AU106">
        <v>67</v>
      </c>
      <c r="AV106">
        <v>58.6</v>
      </c>
      <c r="AW106">
        <f t="shared" si="48"/>
        <v>0.40000000000000036</v>
      </c>
      <c r="AX106" s="13">
        <f t="shared" si="49"/>
        <v>8.3999999999999986</v>
      </c>
    </row>
    <row r="107" spans="2:50" x14ac:dyDescent="0.25">
      <c r="B107" s="6"/>
      <c r="C107" s="7">
        <v>10</v>
      </c>
      <c r="D107" s="7">
        <v>9.6</v>
      </c>
      <c r="E107" s="7">
        <v>104</v>
      </c>
      <c r="F107" s="7">
        <v>80.900000000000006</v>
      </c>
      <c r="G107" s="7">
        <f t="shared" si="40"/>
        <v>0.40000000000000036</v>
      </c>
      <c r="H107" s="8">
        <f t="shared" si="41"/>
        <v>23.099999999999994</v>
      </c>
      <c r="L107" s="6"/>
      <c r="M107" s="7">
        <v>10</v>
      </c>
      <c r="N107" s="7">
        <v>9.6999999999999993</v>
      </c>
      <c r="O107" s="7">
        <v>104</v>
      </c>
      <c r="P107" s="7">
        <v>106.8</v>
      </c>
      <c r="Q107" s="7">
        <f t="shared" si="42"/>
        <v>0.30000000000000071</v>
      </c>
      <c r="R107" s="8">
        <f t="shared" si="43"/>
        <v>2.7999999999999972</v>
      </c>
      <c r="V107" s="6"/>
      <c r="W107" s="7">
        <v>10</v>
      </c>
      <c r="X107" s="7">
        <v>8.1999999999999993</v>
      </c>
      <c r="Y107" s="7">
        <v>104</v>
      </c>
      <c r="Z107" s="7">
        <v>93.2</v>
      </c>
      <c r="AA107" s="7">
        <f t="shared" si="44"/>
        <v>1.8000000000000007</v>
      </c>
      <c r="AB107" s="8">
        <f t="shared" si="45"/>
        <v>10.799999999999997</v>
      </c>
      <c r="AG107" s="6"/>
      <c r="AH107" s="7">
        <v>10</v>
      </c>
      <c r="AI107" s="7"/>
      <c r="AJ107" s="7">
        <v>104</v>
      </c>
      <c r="AK107" s="7">
        <v>105.1</v>
      </c>
      <c r="AL107" s="7">
        <f t="shared" si="46"/>
        <v>10</v>
      </c>
      <c r="AM107" s="8">
        <f t="shared" si="47"/>
        <v>1.0999999999999943</v>
      </c>
      <c r="AR107" s="6"/>
      <c r="AS107" s="7">
        <v>10</v>
      </c>
      <c r="AT107" s="7">
        <v>8.6999999999999993</v>
      </c>
      <c r="AU107" s="7">
        <v>104</v>
      </c>
      <c r="AV107" s="7">
        <v>80.2</v>
      </c>
      <c r="AW107" s="7">
        <f t="shared" si="48"/>
        <v>1.3000000000000007</v>
      </c>
      <c r="AX107" s="8">
        <f t="shared" si="49"/>
        <v>23.799999999999997</v>
      </c>
    </row>
    <row r="108" spans="2:50" x14ac:dyDescent="0.25">
      <c r="B108" s="3" t="s">
        <v>93</v>
      </c>
      <c r="C108" s="4">
        <v>10</v>
      </c>
      <c r="D108" s="4">
        <v>9.1999999999999993</v>
      </c>
      <c r="E108" s="4">
        <v>88</v>
      </c>
      <c r="F108" s="4">
        <v>68.8</v>
      </c>
      <c r="G108">
        <f t="shared" si="40"/>
        <v>0.80000000000000071</v>
      </c>
      <c r="H108" s="13">
        <f t="shared" si="41"/>
        <v>19.200000000000003</v>
      </c>
      <c r="L108" s="3" t="s">
        <v>93</v>
      </c>
      <c r="M108" s="4">
        <v>10</v>
      </c>
      <c r="N108" s="4">
        <v>9.5</v>
      </c>
      <c r="O108" s="4">
        <v>88</v>
      </c>
      <c r="P108" s="4">
        <v>82.4</v>
      </c>
      <c r="Q108">
        <f t="shared" si="42"/>
        <v>0.5</v>
      </c>
      <c r="R108" s="13">
        <f t="shared" si="43"/>
        <v>5.5999999999999943</v>
      </c>
      <c r="V108" s="3" t="s">
        <v>93</v>
      </c>
      <c r="W108" s="4">
        <v>10</v>
      </c>
      <c r="X108" s="4">
        <v>8.1999999999999993</v>
      </c>
      <c r="Y108" s="4">
        <v>88</v>
      </c>
      <c r="Z108" s="4">
        <v>95.5</v>
      </c>
      <c r="AA108">
        <f t="shared" si="44"/>
        <v>1.8000000000000007</v>
      </c>
      <c r="AB108" s="13">
        <f t="shared" si="45"/>
        <v>7.5</v>
      </c>
      <c r="AG108" s="3" t="s">
        <v>93</v>
      </c>
      <c r="AH108" s="4">
        <v>10</v>
      </c>
      <c r="AI108" s="4"/>
      <c r="AJ108" s="4">
        <v>88</v>
      </c>
      <c r="AK108" s="4">
        <v>171.3</v>
      </c>
      <c r="AL108">
        <f t="shared" si="46"/>
        <v>10</v>
      </c>
      <c r="AM108" s="13">
        <f t="shared" si="47"/>
        <v>83.300000000000011</v>
      </c>
      <c r="AR108" s="3" t="s">
        <v>93</v>
      </c>
      <c r="AS108" s="4">
        <v>10</v>
      </c>
      <c r="AT108" s="4">
        <v>8.4</v>
      </c>
      <c r="AU108" s="4">
        <v>88</v>
      </c>
      <c r="AV108" s="4">
        <v>55.6</v>
      </c>
      <c r="AW108">
        <f t="shared" si="48"/>
        <v>1.5999999999999996</v>
      </c>
      <c r="AX108" s="13">
        <f t="shared" si="49"/>
        <v>32.4</v>
      </c>
    </row>
    <row r="109" spans="2:50" x14ac:dyDescent="0.25">
      <c r="B109" s="12"/>
      <c r="C109">
        <v>8.8000000000000007</v>
      </c>
      <c r="D109">
        <v>8.3000000000000007</v>
      </c>
      <c r="E109">
        <v>69</v>
      </c>
      <c r="F109">
        <v>80</v>
      </c>
      <c r="G109">
        <f t="shared" si="40"/>
        <v>0.5</v>
      </c>
      <c r="H109" s="13">
        <f t="shared" si="41"/>
        <v>11</v>
      </c>
      <c r="L109" s="12"/>
      <c r="M109">
        <v>8.8000000000000007</v>
      </c>
      <c r="N109">
        <v>9.4</v>
      </c>
      <c r="O109">
        <v>69</v>
      </c>
      <c r="P109">
        <v>102.8</v>
      </c>
      <c r="Q109">
        <f t="shared" si="42"/>
        <v>0.59999999999999964</v>
      </c>
      <c r="R109" s="13">
        <f t="shared" si="43"/>
        <v>33.799999999999997</v>
      </c>
      <c r="V109" s="12"/>
      <c r="W109">
        <v>8.8000000000000007</v>
      </c>
      <c r="X109">
        <v>8.1999999999999993</v>
      </c>
      <c r="Y109">
        <v>69</v>
      </c>
      <c r="Z109">
        <v>92</v>
      </c>
      <c r="AA109">
        <f t="shared" si="44"/>
        <v>0.60000000000000142</v>
      </c>
      <c r="AB109" s="13">
        <f t="shared" si="45"/>
        <v>23</v>
      </c>
      <c r="AG109" s="12"/>
      <c r="AH109">
        <v>8.8000000000000007</v>
      </c>
      <c r="AJ109">
        <v>69</v>
      </c>
      <c r="AK109">
        <v>94.3</v>
      </c>
      <c r="AL109">
        <f t="shared" si="46"/>
        <v>8.8000000000000007</v>
      </c>
      <c r="AM109" s="13">
        <f t="shared" si="47"/>
        <v>25.299999999999997</v>
      </c>
      <c r="AR109" s="12"/>
      <c r="AS109">
        <v>8.8000000000000007</v>
      </c>
      <c r="AT109">
        <v>9</v>
      </c>
      <c r="AU109">
        <v>69</v>
      </c>
      <c r="AV109">
        <v>66</v>
      </c>
      <c r="AW109">
        <f t="shared" si="48"/>
        <v>0.19999999999999929</v>
      </c>
      <c r="AX109" s="13">
        <f t="shared" si="49"/>
        <v>3</v>
      </c>
    </row>
    <row r="110" spans="2:50" x14ac:dyDescent="0.25">
      <c r="B110" s="6"/>
      <c r="C110" s="7">
        <v>9.1999999999999993</v>
      </c>
      <c r="D110" s="7">
        <v>8.9</v>
      </c>
      <c r="E110" s="7">
        <v>109</v>
      </c>
      <c r="F110" s="7">
        <v>85.4</v>
      </c>
      <c r="G110" s="7">
        <f t="shared" si="40"/>
        <v>0.29999999999999893</v>
      </c>
      <c r="H110" s="8">
        <f t="shared" si="41"/>
        <v>23.599999999999994</v>
      </c>
      <c r="L110" s="6"/>
      <c r="M110" s="7">
        <v>9.1999999999999993</v>
      </c>
      <c r="N110" s="7">
        <v>9.4</v>
      </c>
      <c r="O110" s="7">
        <v>109</v>
      </c>
      <c r="P110" s="7">
        <v>101.6</v>
      </c>
      <c r="Q110" s="7">
        <f t="shared" si="42"/>
        <v>0.20000000000000107</v>
      </c>
      <c r="R110" s="8">
        <f t="shared" si="43"/>
        <v>7.4000000000000057</v>
      </c>
      <c r="V110" s="6"/>
      <c r="W110" s="7">
        <v>9.1999999999999993</v>
      </c>
      <c r="X110" s="7">
        <v>8.1999999999999993</v>
      </c>
      <c r="Y110" s="7">
        <v>109</v>
      </c>
      <c r="Z110" s="7">
        <v>98.4</v>
      </c>
      <c r="AA110" s="7">
        <f t="shared" si="44"/>
        <v>1</v>
      </c>
      <c r="AB110" s="8">
        <f t="shared" si="45"/>
        <v>10.599999999999994</v>
      </c>
      <c r="AG110" s="6"/>
      <c r="AH110" s="7">
        <v>9.1999999999999993</v>
      </c>
      <c r="AI110" s="7"/>
      <c r="AJ110" s="7">
        <v>109</v>
      </c>
      <c r="AK110" s="7">
        <v>112.5</v>
      </c>
      <c r="AL110">
        <f t="shared" si="46"/>
        <v>9.1999999999999993</v>
      </c>
      <c r="AM110" s="13">
        <f t="shared" si="47"/>
        <v>3.5</v>
      </c>
      <c r="AR110" s="6"/>
      <c r="AS110" s="7">
        <v>9.1999999999999993</v>
      </c>
      <c r="AT110" s="7">
        <v>8.6999999999999993</v>
      </c>
      <c r="AU110" s="7">
        <v>109</v>
      </c>
      <c r="AV110" s="7">
        <v>76.2</v>
      </c>
      <c r="AW110" s="7">
        <f t="shared" si="48"/>
        <v>0.5</v>
      </c>
      <c r="AX110" s="8">
        <f t="shared" si="49"/>
        <v>32.799999999999997</v>
      </c>
    </row>
    <row r="111" spans="2:50" x14ac:dyDescent="0.25">
      <c r="B111" s="3" t="s">
        <v>94</v>
      </c>
      <c r="C111" s="4">
        <v>13.2</v>
      </c>
      <c r="D111" s="4">
        <v>13</v>
      </c>
      <c r="E111" s="4">
        <v>103</v>
      </c>
      <c r="F111" s="4">
        <v>55</v>
      </c>
      <c r="G111" s="4">
        <f t="shared" si="40"/>
        <v>0.19999999999999929</v>
      </c>
      <c r="H111" s="5">
        <f t="shared" si="41"/>
        <v>48</v>
      </c>
      <c r="L111" s="3" t="s">
        <v>94</v>
      </c>
      <c r="M111" s="4">
        <v>13.2</v>
      </c>
      <c r="N111" s="4">
        <v>13.4</v>
      </c>
      <c r="O111" s="4">
        <v>103</v>
      </c>
      <c r="P111" s="4">
        <v>62.8</v>
      </c>
      <c r="Q111" s="4">
        <f t="shared" si="42"/>
        <v>0.20000000000000107</v>
      </c>
      <c r="R111" s="5">
        <f t="shared" si="43"/>
        <v>40.200000000000003</v>
      </c>
      <c r="V111" s="3" t="s">
        <v>94</v>
      </c>
      <c r="W111" s="4">
        <v>13.2</v>
      </c>
      <c r="X111" s="4">
        <v>12.9</v>
      </c>
      <c r="Y111" s="4">
        <v>103</v>
      </c>
      <c r="Z111" s="4">
        <v>97</v>
      </c>
      <c r="AA111" s="4">
        <f t="shared" si="44"/>
        <v>0.29999999999999893</v>
      </c>
      <c r="AB111" s="5">
        <f t="shared" si="45"/>
        <v>6</v>
      </c>
      <c r="AG111" s="3" t="s">
        <v>94</v>
      </c>
      <c r="AH111" s="4">
        <v>13.2</v>
      </c>
      <c r="AI111" s="4"/>
      <c r="AJ111" s="4">
        <v>103</v>
      </c>
      <c r="AK111" s="4">
        <v>126</v>
      </c>
      <c r="AL111" s="4">
        <f t="shared" si="46"/>
        <v>13.2</v>
      </c>
      <c r="AM111" s="5">
        <f t="shared" si="47"/>
        <v>23</v>
      </c>
      <c r="AR111" s="3" t="s">
        <v>94</v>
      </c>
      <c r="AS111" s="4">
        <v>13.2</v>
      </c>
      <c r="AT111" s="4">
        <v>13</v>
      </c>
      <c r="AU111" s="4">
        <v>103</v>
      </c>
      <c r="AV111" s="4">
        <v>58.7</v>
      </c>
      <c r="AW111" s="4">
        <f t="shared" si="48"/>
        <v>0.19999999999999929</v>
      </c>
      <c r="AX111" s="5">
        <f t="shared" si="49"/>
        <v>44.3</v>
      </c>
    </row>
    <row r="112" spans="2:50" x14ac:dyDescent="0.25">
      <c r="B112" s="12"/>
      <c r="C112">
        <v>8</v>
      </c>
      <c r="D112">
        <v>7.3</v>
      </c>
      <c r="E112">
        <v>85</v>
      </c>
      <c r="F112">
        <v>82.6</v>
      </c>
      <c r="G112">
        <f t="shared" si="40"/>
        <v>0.70000000000000018</v>
      </c>
      <c r="H112" s="13">
        <f t="shared" si="41"/>
        <v>2.4000000000000057</v>
      </c>
      <c r="L112" s="12"/>
      <c r="M112">
        <v>8</v>
      </c>
      <c r="N112">
        <v>7.7</v>
      </c>
      <c r="O112">
        <v>85</v>
      </c>
      <c r="P112">
        <v>89.6</v>
      </c>
      <c r="Q112">
        <f t="shared" si="42"/>
        <v>0.29999999999999982</v>
      </c>
      <c r="R112" s="13">
        <f t="shared" si="43"/>
        <v>4.5999999999999943</v>
      </c>
      <c r="V112" s="12"/>
      <c r="W112">
        <v>8</v>
      </c>
      <c r="X112">
        <v>7</v>
      </c>
      <c r="Y112">
        <v>85</v>
      </c>
      <c r="Z112">
        <v>94</v>
      </c>
      <c r="AA112">
        <f t="shared" si="44"/>
        <v>1</v>
      </c>
      <c r="AB112" s="13">
        <f t="shared" si="45"/>
        <v>9</v>
      </c>
      <c r="AG112" s="12"/>
      <c r="AH112">
        <v>8</v>
      </c>
      <c r="AJ112">
        <v>85</v>
      </c>
      <c r="AK112">
        <v>75.7</v>
      </c>
      <c r="AL112">
        <f t="shared" si="46"/>
        <v>8</v>
      </c>
      <c r="AM112" s="13">
        <f t="shared" si="47"/>
        <v>9.2999999999999972</v>
      </c>
      <c r="AR112" s="12"/>
      <c r="AS112">
        <v>8</v>
      </c>
      <c r="AT112">
        <v>7.4</v>
      </c>
      <c r="AU112">
        <v>85</v>
      </c>
      <c r="AV112">
        <v>85.2</v>
      </c>
      <c r="AW112">
        <f t="shared" si="48"/>
        <v>0.59999999999999964</v>
      </c>
      <c r="AX112" s="13">
        <f t="shared" si="49"/>
        <v>0.20000000000000284</v>
      </c>
    </row>
    <row r="113" spans="2:50" x14ac:dyDescent="0.25">
      <c r="B113" s="12"/>
      <c r="C113">
        <v>7.2</v>
      </c>
      <c r="D113">
        <v>7</v>
      </c>
      <c r="E113">
        <v>71</v>
      </c>
      <c r="F113">
        <v>68.099999999999994</v>
      </c>
      <c r="G113">
        <f t="shared" si="40"/>
        <v>0.20000000000000018</v>
      </c>
      <c r="H113" s="13">
        <f t="shared" si="41"/>
        <v>2.9000000000000057</v>
      </c>
      <c r="L113" s="6"/>
      <c r="M113" s="7">
        <v>7.2</v>
      </c>
      <c r="N113" s="7">
        <v>7.3</v>
      </c>
      <c r="O113" s="7">
        <v>71</v>
      </c>
      <c r="P113" s="7">
        <v>50.4</v>
      </c>
      <c r="Q113" s="7">
        <f t="shared" si="42"/>
        <v>9.9999999999999645E-2</v>
      </c>
      <c r="R113" s="8">
        <f t="shared" si="43"/>
        <v>20.6</v>
      </c>
      <c r="V113" s="6"/>
      <c r="W113" s="7">
        <v>7.2</v>
      </c>
      <c r="X113" s="7">
        <v>7</v>
      </c>
      <c r="Y113" s="7">
        <v>71</v>
      </c>
      <c r="Z113" s="7">
        <v>101.4</v>
      </c>
      <c r="AA113">
        <f t="shared" si="44"/>
        <v>0.20000000000000018</v>
      </c>
      <c r="AB113" s="13">
        <f t="shared" si="45"/>
        <v>30.400000000000006</v>
      </c>
      <c r="AG113" s="6"/>
      <c r="AH113" s="7">
        <v>7.2</v>
      </c>
      <c r="AI113" s="7"/>
      <c r="AJ113" s="7">
        <v>71</v>
      </c>
      <c r="AK113" s="7">
        <v>72.400000000000006</v>
      </c>
      <c r="AL113" s="7">
        <f t="shared" si="46"/>
        <v>7.2</v>
      </c>
      <c r="AM113" s="8">
        <f t="shared" si="47"/>
        <v>1.4000000000000057</v>
      </c>
      <c r="AR113" s="6"/>
      <c r="AS113" s="7">
        <v>7.2</v>
      </c>
      <c r="AT113" s="7">
        <v>7.2</v>
      </c>
      <c r="AU113" s="7">
        <v>71</v>
      </c>
      <c r="AV113" s="7">
        <v>82.9</v>
      </c>
      <c r="AW113">
        <f t="shared" si="48"/>
        <v>0</v>
      </c>
      <c r="AX113" s="13">
        <f t="shared" si="49"/>
        <v>11.900000000000006</v>
      </c>
    </row>
    <row r="114" spans="2:50" x14ac:dyDescent="0.25">
      <c r="B114" s="3" t="s">
        <v>97</v>
      </c>
      <c r="C114" s="4">
        <v>11</v>
      </c>
      <c r="D114" s="4">
        <v>10.6</v>
      </c>
      <c r="E114" s="4">
        <v>101</v>
      </c>
      <c r="F114" s="4">
        <v>72.5</v>
      </c>
      <c r="G114" s="4">
        <f t="shared" si="40"/>
        <v>0.40000000000000036</v>
      </c>
      <c r="H114" s="5">
        <f t="shared" si="41"/>
        <v>28.5</v>
      </c>
      <c r="L114" s="3" t="s">
        <v>97</v>
      </c>
      <c r="M114" s="4">
        <v>11</v>
      </c>
      <c r="N114" s="4">
        <v>10.3</v>
      </c>
      <c r="O114" s="4">
        <v>101</v>
      </c>
      <c r="P114" s="4">
        <v>104.4</v>
      </c>
      <c r="Q114" s="4">
        <f t="shared" si="42"/>
        <v>0.69999999999999929</v>
      </c>
      <c r="R114" s="5">
        <f t="shared" si="43"/>
        <v>3.4000000000000057</v>
      </c>
      <c r="V114" s="3" t="s">
        <v>97</v>
      </c>
      <c r="W114" s="4">
        <v>11</v>
      </c>
      <c r="X114" s="4">
        <v>10.5</v>
      </c>
      <c r="Y114" s="4">
        <v>101</v>
      </c>
      <c r="Z114" s="4">
        <v>91.1</v>
      </c>
      <c r="AA114" s="4">
        <f t="shared" si="44"/>
        <v>0.5</v>
      </c>
      <c r="AB114" s="5">
        <f t="shared" si="45"/>
        <v>9.9000000000000057</v>
      </c>
      <c r="AG114" s="3" t="s">
        <v>97</v>
      </c>
      <c r="AH114" s="4">
        <v>11</v>
      </c>
      <c r="AI114" s="4"/>
      <c r="AJ114" s="4">
        <v>101</v>
      </c>
      <c r="AK114" s="4"/>
      <c r="AL114" s="4"/>
      <c r="AM114" s="5"/>
      <c r="AR114" s="3" t="s">
        <v>97</v>
      </c>
      <c r="AS114" s="4">
        <v>11</v>
      </c>
      <c r="AT114" s="4">
        <v>10.4</v>
      </c>
      <c r="AU114" s="4">
        <v>101</v>
      </c>
      <c r="AV114" s="4">
        <v>98.4</v>
      </c>
      <c r="AW114" s="4">
        <f t="shared" si="48"/>
        <v>0.59999999999999964</v>
      </c>
      <c r="AX114" s="5">
        <f t="shared" si="49"/>
        <v>2.5999999999999943</v>
      </c>
    </row>
    <row r="115" spans="2:50" x14ac:dyDescent="0.25">
      <c r="B115" s="12"/>
      <c r="C115">
        <v>11.2</v>
      </c>
      <c r="D115">
        <v>10.8</v>
      </c>
      <c r="E115">
        <v>97</v>
      </c>
      <c r="F115">
        <v>73.900000000000006</v>
      </c>
      <c r="G115">
        <f t="shared" si="40"/>
        <v>0.39999999999999858</v>
      </c>
      <c r="H115" s="13">
        <f t="shared" si="41"/>
        <v>23.099999999999994</v>
      </c>
      <c r="L115" s="12"/>
      <c r="M115">
        <v>11.2</v>
      </c>
      <c r="N115">
        <v>10.199999999999999</v>
      </c>
      <c r="O115">
        <v>97</v>
      </c>
      <c r="P115">
        <v>117.6</v>
      </c>
      <c r="Q115">
        <f t="shared" si="42"/>
        <v>1</v>
      </c>
      <c r="R115" s="13">
        <f t="shared" si="43"/>
        <v>20.599999999999994</v>
      </c>
      <c r="V115" s="12"/>
      <c r="W115">
        <v>11.2</v>
      </c>
      <c r="X115">
        <v>10.5</v>
      </c>
      <c r="Y115">
        <v>97</v>
      </c>
      <c r="Z115">
        <v>86.7</v>
      </c>
      <c r="AA115">
        <f t="shared" si="44"/>
        <v>0.69999999999999929</v>
      </c>
      <c r="AB115" s="13">
        <f t="shared" si="45"/>
        <v>10.299999999999997</v>
      </c>
      <c r="AG115" s="12"/>
      <c r="AH115">
        <v>11.2</v>
      </c>
      <c r="AJ115">
        <v>97</v>
      </c>
      <c r="AM115" s="13"/>
      <c r="AR115" s="12"/>
      <c r="AS115">
        <v>11.2</v>
      </c>
      <c r="AT115">
        <v>11</v>
      </c>
      <c r="AU115">
        <v>97</v>
      </c>
      <c r="AV115">
        <v>69.2</v>
      </c>
      <c r="AW115">
        <f t="shared" si="48"/>
        <v>0.19999999999999929</v>
      </c>
      <c r="AX115" s="13">
        <f t="shared" si="49"/>
        <v>27.799999999999997</v>
      </c>
    </row>
    <row r="116" spans="2:50" x14ac:dyDescent="0.25">
      <c r="B116" s="6"/>
      <c r="C116" s="7">
        <v>8.8000000000000007</v>
      </c>
      <c r="D116" s="7">
        <v>10</v>
      </c>
      <c r="E116" s="7">
        <v>75</v>
      </c>
      <c r="F116" s="7">
        <v>74.400000000000006</v>
      </c>
      <c r="G116">
        <f t="shared" si="40"/>
        <v>1.1999999999999993</v>
      </c>
      <c r="H116" s="13">
        <f t="shared" si="41"/>
        <v>0.59999999999999432</v>
      </c>
      <c r="L116" s="6"/>
      <c r="M116" s="7">
        <v>8.8000000000000007</v>
      </c>
      <c r="N116" s="7">
        <v>9.6999999999999993</v>
      </c>
      <c r="O116" s="7">
        <v>75</v>
      </c>
      <c r="P116" s="7">
        <v>90</v>
      </c>
      <c r="Q116" s="7">
        <f t="shared" si="42"/>
        <v>0.89999999999999858</v>
      </c>
      <c r="R116" s="8">
        <f t="shared" si="43"/>
        <v>15</v>
      </c>
      <c r="V116" s="6"/>
      <c r="W116" s="7">
        <v>8.8000000000000007</v>
      </c>
      <c r="X116" s="7">
        <v>7.9</v>
      </c>
      <c r="Y116" s="7">
        <v>75</v>
      </c>
      <c r="Z116" s="7">
        <v>86.1</v>
      </c>
      <c r="AA116" s="7">
        <f t="shared" si="44"/>
        <v>0.90000000000000036</v>
      </c>
      <c r="AB116" s="8">
        <f t="shared" si="45"/>
        <v>11.099999999999994</v>
      </c>
      <c r="AG116" s="6"/>
      <c r="AH116" s="7">
        <v>8.8000000000000007</v>
      </c>
      <c r="AI116" s="7"/>
      <c r="AJ116" s="7">
        <v>75</v>
      </c>
      <c r="AK116" s="7"/>
      <c r="AL116" s="7"/>
      <c r="AM116" s="8"/>
      <c r="AR116" s="6"/>
      <c r="AS116" s="7">
        <v>8.8000000000000007</v>
      </c>
      <c r="AT116" s="7">
        <v>10.5</v>
      </c>
      <c r="AU116" s="7">
        <v>75</v>
      </c>
      <c r="AV116" s="7">
        <v>76.7</v>
      </c>
      <c r="AW116">
        <f t="shared" si="48"/>
        <v>1.6999999999999993</v>
      </c>
      <c r="AX116" s="13">
        <f t="shared" si="49"/>
        <v>1.7000000000000028</v>
      </c>
    </row>
    <row r="117" spans="2:50" x14ac:dyDescent="0.25">
      <c r="B117" s="3" t="s">
        <v>98</v>
      </c>
      <c r="C117" s="4">
        <v>13</v>
      </c>
      <c r="D117" s="4">
        <v>12.7</v>
      </c>
      <c r="E117" s="4">
        <v>103</v>
      </c>
      <c r="F117" s="4">
        <v>71</v>
      </c>
      <c r="G117" s="4">
        <f>ABS(C117-D117)</f>
        <v>0.30000000000000071</v>
      </c>
      <c r="H117" s="5">
        <f t="shared" si="41"/>
        <v>32</v>
      </c>
      <c r="L117" s="3" t="s">
        <v>98</v>
      </c>
      <c r="M117" s="4">
        <v>13</v>
      </c>
      <c r="N117" s="4">
        <v>13.6</v>
      </c>
      <c r="O117" s="4">
        <v>103</v>
      </c>
      <c r="P117" s="4">
        <v>50</v>
      </c>
      <c r="Q117" s="4">
        <f t="shared" si="42"/>
        <v>0.59999999999999964</v>
      </c>
      <c r="R117" s="5">
        <f t="shared" si="43"/>
        <v>53</v>
      </c>
      <c r="V117" s="3" t="s">
        <v>98</v>
      </c>
      <c r="W117" s="4">
        <v>13</v>
      </c>
      <c r="X117" s="4">
        <v>12.6</v>
      </c>
      <c r="Y117" s="4">
        <v>103</v>
      </c>
      <c r="Z117" s="4">
        <v>93.5</v>
      </c>
      <c r="AA117" s="4">
        <f t="shared" si="44"/>
        <v>0.40000000000000036</v>
      </c>
      <c r="AB117" s="5">
        <f t="shared" si="45"/>
        <v>9.5</v>
      </c>
      <c r="AG117" s="3" t="s">
        <v>98</v>
      </c>
      <c r="AH117" s="4">
        <v>13</v>
      </c>
      <c r="AI117" s="4"/>
      <c r="AJ117" s="4">
        <v>103</v>
      </c>
      <c r="AK117" s="4"/>
      <c r="AL117" s="4"/>
      <c r="AM117" s="5"/>
      <c r="AR117" s="3" t="s">
        <v>98</v>
      </c>
      <c r="AS117" s="4">
        <v>13</v>
      </c>
      <c r="AT117" s="4">
        <v>12.4</v>
      </c>
      <c r="AU117" s="4">
        <v>103</v>
      </c>
      <c r="AV117" s="4">
        <v>82.1</v>
      </c>
      <c r="AW117" s="4">
        <f t="shared" si="48"/>
        <v>0.59999999999999964</v>
      </c>
      <c r="AX117" s="5">
        <f t="shared" si="49"/>
        <v>20.900000000000006</v>
      </c>
    </row>
    <row r="118" spans="2:50" x14ac:dyDescent="0.25">
      <c r="B118" s="12"/>
      <c r="C118">
        <v>9.6</v>
      </c>
      <c r="D118">
        <v>8.9</v>
      </c>
      <c r="E118">
        <v>101</v>
      </c>
      <c r="F118">
        <v>70.2</v>
      </c>
      <c r="G118">
        <f t="shared" ref="G118:G122" si="50">ABS(C118-D118)</f>
        <v>0.69999999999999929</v>
      </c>
      <c r="H118" s="13">
        <f t="shared" si="41"/>
        <v>30.799999999999997</v>
      </c>
      <c r="L118" s="12"/>
      <c r="M118">
        <v>9.6</v>
      </c>
      <c r="N118">
        <v>9.5</v>
      </c>
      <c r="O118">
        <v>101</v>
      </c>
      <c r="P118">
        <v>89.6</v>
      </c>
      <c r="Q118">
        <f t="shared" si="42"/>
        <v>9.9999999999999645E-2</v>
      </c>
      <c r="R118" s="13">
        <f t="shared" si="43"/>
        <v>11.400000000000006</v>
      </c>
      <c r="V118" s="12"/>
      <c r="W118">
        <v>9.6</v>
      </c>
      <c r="X118">
        <v>8.1999999999999993</v>
      </c>
      <c r="Y118">
        <v>101</v>
      </c>
      <c r="Z118">
        <v>86.7</v>
      </c>
      <c r="AA118">
        <f t="shared" si="44"/>
        <v>1.4000000000000004</v>
      </c>
      <c r="AB118" s="13">
        <f t="shared" si="45"/>
        <v>14.299999999999997</v>
      </c>
      <c r="AG118" s="12"/>
      <c r="AH118">
        <v>9.6</v>
      </c>
      <c r="AJ118">
        <v>101</v>
      </c>
      <c r="AM118" s="13"/>
      <c r="AR118" s="12"/>
      <c r="AS118">
        <v>9.6</v>
      </c>
      <c r="AT118">
        <v>9.1999999999999993</v>
      </c>
      <c r="AU118">
        <v>101</v>
      </c>
      <c r="AV118">
        <v>69.400000000000006</v>
      </c>
      <c r="AW118">
        <f t="shared" si="48"/>
        <v>0.40000000000000036</v>
      </c>
      <c r="AX118" s="13">
        <f t="shared" si="49"/>
        <v>31.599999999999994</v>
      </c>
    </row>
    <row r="119" spans="2:50" x14ac:dyDescent="0.25">
      <c r="B119" s="6"/>
      <c r="C119" s="7">
        <v>8.8000000000000007</v>
      </c>
      <c r="D119" s="7">
        <v>8.4</v>
      </c>
      <c r="E119" s="7">
        <v>68</v>
      </c>
      <c r="F119" s="7">
        <v>77.3</v>
      </c>
      <c r="G119" s="7">
        <f t="shared" si="50"/>
        <v>0.40000000000000036</v>
      </c>
      <c r="H119" s="8">
        <f t="shared" si="41"/>
        <v>9.2999999999999972</v>
      </c>
      <c r="L119" s="6"/>
      <c r="M119" s="7">
        <v>8.8000000000000007</v>
      </c>
      <c r="N119" s="7">
        <v>9.5</v>
      </c>
      <c r="O119" s="7">
        <v>68</v>
      </c>
      <c r="P119" s="7">
        <v>60.4</v>
      </c>
      <c r="Q119" s="7">
        <f t="shared" si="42"/>
        <v>0.69999999999999929</v>
      </c>
      <c r="R119" s="8">
        <f t="shared" si="43"/>
        <v>7.6000000000000014</v>
      </c>
      <c r="V119" s="6"/>
      <c r="W119" s="7">
        <v>8.8000000000000007</v>
      </c>
      <c r="X119" s="7">
        <v>7.9</v>
      </c>
      <c r="Y119" s="7">
        <v>68</v>
      </c>
      <c r="Z119" s="7">
        <v>81.2</v>
      </c>
      <c r="AA119" s="7">
        <f t="shared" si="44"/>
        <v>0.90000000000000036</v>
      </c>
      <c r="AB119" s="8">
        <f t="shared" si="45"/>
        <v>13.200000000000003</v>
      </c>
      <c r="AG119" s="6"/>
      <c r="AH119" s="7">
        <v>8.8000000000000007</v>
      </c>
      <c r="AI119" s="7"/>
      <c r="AJ119" s="7">
        <v>68</v>
      </c>
      <c r="AK119" s="7"/>
      <c r="AL119" s="7"/>
      <c r="AM119" s="8"/>
      <c r="AR119" s="6"/>
      <c r="AS119" s="7">
        <v>8.8000000000000007</v>
      </c>
      <c r="AT119" s="7">
        <v>8.6999999999999993</v>
      </c>
      <c r="AU119" s="7">
        <v>68</v>
      </c>
      <c r="AV119" s="7">
        <v>79.900000000000006</v>
      </c>
      <c r="AW119" s="7">
        <f t="shared" si="48"/>
        <v>0.10000000000000142</v>
      </c>
      <c r="AX119" s="8">
        <f t="shared" si="49"/>
        <v>11.900000000000006</v>
      </c>
    </row>
    <row r="120" spans="2:50" x14ac:dyDescent="0.25">
      <c r="B120" s="12" t="s">
        <v>99</v>
      </c>
      <c r="C120">
        <v>11.6</v>
      </c>
      <c r="D120">
        <v>11.2</v>
      </c>
      <c r="E120">
        <v>99</v>
      </c>
      <c r="F120">
        <v>68.900000000000006</v>
      </c>
      <c r="G120" s="4">
        <f t="shared" si="50"/>
        <v>0.40000000000000036</v>
      </c>
      <c r="H120" s="5">
        <f t="shared" si="41"/>
        <v>30.099999999999994</v>
      </c>
      <c r="L120" s="12" t="s">
        <v>99</v>
      </c>
      <c r="M120">
        <v>11.6</v>
      </c>
      <c r="N120">
        <v>10.7</v>
      </c>
      <c r="O120">
        <v>99</v>
      </c>
      <c r="P120">
        <v>61.6</v>
      </c>
      <c r="Q120">
        <f t="shared" si="42"/>
        <v>0.90000000000000036</v>
      </c>
      <c r="R120" s="13">
        <f t="shared" si="43"/>
        <v>37.4</v>
      </c>
      <c r="V120" s="12" t="s">
        <v>99</v>
      </c>
      <c r="W120">
        <v>11.6</v>
      </c>
      <c r="X120">
        <v>11.7</v>
      </c>
      <c r="Y120">
        <v>99</v>
      </c>
      <c r="Z120">
        <v>93.2</v>
      </c>
      <c r="AA120">
        <f>ABS(W120-X120)</f>
        <v>9.9999999999999645E-2</v>
      </c>
      <c r="AB120" s="13">
        <f t="shared" si="45"/>
        <v>5.7999999999999972</v>
      </c>
      <c r="AG120" s="12" t="s">
        <v>99</v>
      </c>
      <c r="AH120">
        <v>11.6</v>
      </c>
      <c r="AJ120">
        <v>99</v>
      </c>
      <c r="AM120" s="13"/>
      <c r="AR120" s="12" t="s">
        <v>99</v>
      </c>
      <c r="AS120">
        <v>11.6</v>
      </c>
      <c r="AT120">
        <v>11.5</v>
      </c>
      <c r="AU120">
        <v>99</v>
      </c>
      <c r="AV120">
        <v>65.2</v>
      </c>
      <c r="AW120" s="4">
        <f t="shared" si="48"/>
        <v>9.9999999999999645E-2</v>
      </c>
      <c r="AX120" s="5">
        <f t="shared" si="49"/>
        <v>33.799999999999997</v>
      </c>
    </row>
    <row r="121" spans="2:50" x14ac:dyDescent="0.25">
      <c r="B121" s="12"/>
      <c r="C121">
        <v>12</v>
      </c>
      <c r="D121">
        <v>12.3</v>
      </c>
      <c r="E121">
        <v>93</v>
      </c>
      <c r="F121">
        <v>71.7</v>
      </c>
      <c r="G121">
        <f t="shared" si="50"/>
        <v>0.30000000000000071</v>
      </c>
      <c r="H121" s="13">
        <f t="shared" si="41"/>
        <v>21.299999999999997</v>
      </c>
      <c r="L121" s="12"/>
      <c r="M121">
        <v>12</v>
      </c>
      <c r="N121">
        <v>9.8000000000000007</v>
      </c>
      <c r="O121">
        <v>93</v>
      </c>
      <c r="P121">
        <v>94.8</v>
      </c>
      <c r="Q121">
        <f t="shared" si="42"/>
        <v>2.1999999999999993</v>
      </c>
      <c r="R121" s="13">
        <f t="shared" si="43"/>
        <v>1.7999999999999972</v>
      </c>
      <c r="V121" s="12"/>
      <c r="W121">
        <v>12</v>
      </c>
      <c r="X121">
        <v>9.4</v>
      </c>
      <c r="Y121">
        <v>93</v>
      </c>
      <c r="Z121">
        <v>91.1</v>
      </c>
      <c r="AA121">
        <f t="shared" ref="AA121:AA122" si="51">ABS(W121-X121)</f>
        <v>2.5999999999999996</v>
      </c>
      <c r="AB121" s="13">
        <f t="shared" si="45"/>
        <v>1.9000000000000057</v>
      </c>
      <c r="AG121" s="12"/>
      <c r="AH121">
        <v>12</v>
      </c>
      <c r="AJ121">
        <v>93</v>
      </c>
      <c r="AM121" s="13"/>
      <c r="AR121" s="12"/>
      <c r="AS121">
        <v>12</v>
      </c>
      <c r="AT121">
        <v>9.4</v>
      </c>
      <c r="AU121">
        <v>93</v>
      </c>
      <c r="AV121">
        <v>100</v>
      </c>
      <c r="AW121">
        <f t="shared" si="48"/>
        <v>2.5999999999999996</v>
      </c>
      <c r="AX121" s="13">
        <f t="shared" si="49"/>
        <v>7</v>
      </c>
    </row>
    <row r="122" spans="2:50" x14ac:dyDescent="0.25">
      <c r="B122" s="6"/>
      <c r="C122" s="7">
        <v>9.1999999999999993</v>
      </c>
      <c r="D122" s="7">
        <v>9.8000000000000007</v>
      </c>
      <c r="E122" s="7">
        <v>68</v>
      </c>
      <c r="F122" s="7">
        <v>85.6</v>
      </c>
      <c r="G122" s="7">
        <f t="shared" si="50"/>
        <v>0.60000000000000142</v>
      </c>
      <c r="H122" s="8">
        <f t="shared" si="41"/>
        <v>17.599999999999994</v>
      </c>
      <c r="L122" s="6"/>
      <c r="M122" s="7">
        <v>9.1999999999999993</v>
      </c>
      <c r="N122" s="7">
        <v>9.6</v>
      </c>
      <c r="O122" s="7">
        <v>68</v>
      </c>
      <c r="P122" s="7">
        <v>92.4</v>
      </c>
      <c r="Q122" s="7">
        <f t="shared" si="42"/>
        <v>0.40000000000000036</v>
      </c>
      <c r="R122" s="8">
        <f t="shared" si="43"/>
        <v>24.400000000000006</v>
      </c>
      <c r="V122" s="6"/>
      <c r="W122" s="7">
        <v>9.1999999999999993</v>
      </c>
      <c r="X122" s="7">
        <v>8.8000000000000007</v>
      </c>
      <c r="Y122" s="7">
        <v>68</v>
      </c>
      <c r="Z122" s="7">
        <v>99.9</v>
      </c>
      <c r="AA122">
        <f t="shared" si="51"/>
        <v>0.39999999999999858</v>
      </c>
      <c r="AB122" s="13">
        <f t="shared" si="45"/>
        <v>31.900000000000006</v>
      </c>
      <c r="AG122" s="6"/>
      <c r="AH122" s="7">
        <v>9.1999999999999993</v>
      </c>
      <c r="AI122" s="7"/>
      <c r="AJ122" s="7">
        <v>68</v>
      </c>
      <c r="AK122" s="7"/>
      <c r="AL122" s="7"/>
      <c r="AM122" s="8"/>
      <c r="AR122" s="6"/>
      <c r="AS122" s="7">
        <v>9.1999999999999993</v>
      </c>
      <c r="AT122" s="7">
        <v>10.199999999999999</v>
      </c>
      <c r="AU122" s="7">
        <v>68</v>
      </c>
      <c r="AV122" s="7">
        <v>75.7</v>
      </c>
      <c r="AW122" s="7">
        <f t="shared" si="48"/>
        <v>1</v>
      </c>
      <c r="AX122" s="8">
        <f t="shared" si="49"/>
        <v>7.7000000000000028</v>
      </c>
    </row>
    <row r="123" spans="2:50" x14ac:dyDescent="0.25">
      <c r="B123" s="3" t="s">
        <v>95</v>
      </c>
      <c r="C123" s="4">
        <v>10</v>
      </c>
      <c r="D123" s="4">
        <v>10</v>
      </c>
      <c r="E123" s="4">
        <v>78</v>
      </c>
      <c r="F123" s="4">
        <v>60</v>
      </c>
      <c r="G123">
        <f t="shared" ref="G123:G128" si="52">ABS(C123-D123)</f>
        <v>0</v>
      </c>
      <c r="H123" s="13">
        <f t="shared" ref="H123:H128" si="53">ABS(E123-F123)</f>
        <v>18</v>
      </c>
      <c r="L123" s="3" t="s">
        <v>95</v>
      </c>
      <c r="M123" s="4">
        <v>10</v>
      </c>
      <c r="N123" s="4">
        <v>9.8000000000000007</v>
      </c>
      <c r="O123" s="4">
        <v>78</v>
      </c>
      <c r="P123" s="4">
        <v>59.2</v>
      </c>
      <c r="Q123" s="4">
        <f t="shared" ref="Q123:Q128" si="54">ABS(M123-N123)</f>
        <v>0.19999999999999929</v>
      </c>
      <c r="R123" s="5">
        <f t="shared" ref="R123:R128" si="55">ABS(O123-P123)</f>
        <v>18.799999999999997</v>
      </c>
      <c r="V123" s="3" t="s">
        <v>95</v>
      </c>
      <c r="W123" s="4">
        <v>10</v>
      </c>
      <c r="X123" s="4">
        <v>10.5</v>
      </c>
      <c r="Y123" s="4">
        <v>78</v>
      </c>
      <c r="Z123" s="4">
        <v>79.7</v>
      </c>
      <c r="AA123" s="4">
        <f t="shared" ref="AA123:AA128" si="56">ABS(W123-X123)</f>
        <v>0.5</v>
      </c>
      <c r="AB123" s="5">
        <f t="shared" ref="AB123:AB128" si="57">ABS(Y123-Z123)</f>
        <v>1.7000000000000028</v>
      </c>
      <c r="AG123" s="3" t="s">
        <v>95</v>
      </c>
      <c r="AH123" s="4">
        <v>10</v>
      </c>
      <c r="AI123" s="4"/>
      <c r="AJ123" s="4">
        <v>78</v>
      </c>
      <c r="AK123" s="4">
        <v>66</v>
      </c>
      <c r="AL123" s="4">
        <f t="shared" ref="AL123:AL128" si="58">ABS(AH123-AI123)</f>
        <v>10</v>
      </c>
      <c r="AM123" s="5">
        <f t="shared" ref="AM123:AM128" si="59">ABS(AJ123-AK123)</f>
        <v>12</v>
      </c>
      <c r="AR123" s="3" t="s">
        <v>95</v>
      </c>
      <c r="AS123" s="4">
        <v>10</v>
      </c>
      <c r="AT123" s="4">
        <v>10</v>
      </c>
      <c r="AU123" s="4">
        <v>78</v>
      </c>
      <c r="AV123" s="4">
        <v>77.900000000000006</v>
      </c>
      <c r="AW123">
        <f t="shared" ref="AW123:AW128" si="60">ABS(AS123-AT123)</f>
        <v>0</v>
      </c>
      <c r="AX123" s="13">
        <f t="shared" ref="AX123:AX128" si="61">ABS(AU123-AV123)</f>
        <v>9.9999999999994316E-2</v>
      </c>
    </row>
    <row r="124" spans="2:50" x14ac:dyDescent="0.25">
      <c r="B124" s="12"/>
      <c r="C124">
        <v>8</v>
      </c>
      <c r="D124">
        <v>7.7</v>
      </c>
      <c r="E124">
        <v>74</v>
      </c>
      <c r="F124">
        <v>78.8</v>
      </c>
      <c r="G124">
        <f t="shared" si="52"/>
        <v>0.29999999999999982</v>
      </c>
      <c r="H124" s="13">
        <f t="shared" si="53"/>
        <v>4.7999999999999972</v>
      </c>
      <c r="L124" s="12"/>
      <c r="M124">
        <v>8</v>
      </c>
      <c r="N124">
        <v>7.7</v>
      </c>
      <c r="O124">
        <v>74</v>
      </c>
      <c r="P124">
        <v>64</v>
      </c>
      <c r="Q124">
        <f t="shared" si="54"/>
        <v>0.29999999999999982</v>
      </c>
      <c r="R124" s="13">
        <f t="shared" si="55"/>
        <v>10</v>
      </c>
      <c r="V124" s="12"/>
      <c r="W124">
        <v>8</v>
      </c>
      <c r="X124">
        <v>7</v>
      </c>
      <c r="Y124">
        <v>74</v>
      </c>
      <c r="Z124">
        <v>92.9</v>
      </c>
      <c r="AA124">
        <f t="shared" si="56"/>
        <v>1</v>
      </c>
      <c r="AB124" s="13">
        <f t="shared" si="57"/>
        <v>18.900000000000006</v>
      </c>
      <c r="AG124" s="12"/>
      <c r="AH124">
        <v>8</v>
      </c>
      <c r="AJ124">
        <v>74</v>
      </c>
      <c r="AK124">
        <v>110.5</v>
      </c>
      <c r="AL124">
        <f t="shared" si="58"/>
        <v>8</v>
      </c>
      <c r="AM124" s="13">
        <f t="shared" si="59"/>
        <v>36.5</v>
      </c>
      <c r="AR124" s="12"/>
      <c r="AS124">
        <v>8</v>
      </c>
      <c r="AT124">
        <v>8.5</v>
      </c>
      <c r="AU124">
        <v>74</v>
      </c>
      <c r="AV124">
        <v>69.2</v>
      </c>
      <c r="AW124">
        <f t="shared" si="60"/>
        <v>0.5</v>
      </c>
      <c r="AX124" s="13">
        <f t="shared" si="61"/>
        <v>4.7999999999999972</v>
      </c>
    </row>
    <row r="125" spans="2:50" x14ac:dyDescent="0.25">
      <c r="B125" s="6"/>
      <c r="C125" s="7">
        <v>7.2</v>
      </c>
      <c r="D125" s="7">
        <v>7.3</v>
      </c>
      <c r="E125" s="7">
        <v>70</v>
      </c>
      <c r="F125" s="7">
        <v>72.5</v>
      </c>
      <c r="G125">
        <f t="shared" si="52"/>
        <v>9.9999999999999645E-2</v>
      </c>
      <c r="H125" s="13">
        <f t="shared" si="53"/>
        <v>2.5</v>
      </c>
      <c r="L125" s="6"/>
      <c r="M125" s="7">
        <v>7.2</v>
      </c>
      <c r="N125" s="7">
        <v>6.6</v>
      </c>
      <c r="O125" s="7">
        <v>70</v>
      </c>
      <c r="P125" s="7">
        <v>51.2</v>
      </c>
      <c r="Q125" s="7">
        <f t="shared" si="54"/>
        <v>0.60000000000000053</v>
      </c>
      <c r="R125" s="8">
        <f t="shared" si="55"/>
        <v>18.799999999999997</v>
      </c>
      <c r="V125" s="6"/>
      <c r="W125" s="7">
        <v>7.2</v>
      </c>
      <c r="X125" s="7">
        <v>7</v>
      </c>
      <c r="Y125" s="7">
        <v>70</v>
      </c>
      <c r="Z125" s="7">
        <v>96.1</v>
      </c>
      <c r="AA125">
        <f t="shared" si="56"/>
        <v>0.20000000000000018</v>
      </c>
      <c r="AB125" s="13">
        <f t="shared" si="57"/>
        <v>26.099999999999994</v>
      </c>
      <c r="AG125" s="6"/>
      <c r="AH125" s="7">
        <v>7.2</v>
      </c>
      <c r="AI125" s="7"/>
      <c r="AJ125" s="7">
        <v>70</v>
      </c>
      <c r="AK125" s="7">
        <v>105.6</v>
      </c>
      <c r="AL125" s="7">
        <f t="shared" si="58"/>
        <v>7.2</v>
      </c>
      <c r="AM125" s="8">
        <f t="shared" si="59"/>
        <v>35.599999999999994</v>
      </c>
      <c r="AR125" s="6"/>
      <c r="AS125" s="7">
        <v>7.2</v>
      </c>
      <c r="AT125" s="7">
        <v>6.4</v>
      </c>
      <c r="AU125" s="7">
        <v>70</v>
      </c>
      <c r="AV125" s="7">
        <v>57.6</v>
      </c>
      <c r="AW125" s="7">
        <f t="shared" si="60"/>
        <v>0.79999999999999982</v>
      </c>
      <c r="AX125" s="8">
        <f t="shared" si="61"/>
        <v>12.399999999999999</v>
      </c>
    </row>
    <row r="126" spans="2:50" x14ac:dyDescent="0.25">
      <c r="B126" s="3" t="s">
        <v>96</v>
      </c>
      <c r="C126" s="4">
        <v>8</v>
      </c>
      <c r="D126" s="4">
        <v>8.1</v>
      </c>
      <c r="E126" s="4">
        <v>70</v>
      </c>
      <c r="F126" s="4">
        <v>66.3</v>
      </c>
      <c r="G126" s="4">
        <f t="shared" si="52"/>
        <v>9.9999999999999645E-2</v>
      </c>
      <c r="H126" s="5">
        <f t="shared" si="53"/>
        <v>3.7000000000000028</v>
      </c>
      <c r="L126" s="3" t="s">
        <v>96</v>
      </c>
      <c r="M126" s="4">
        <v>8</v>
      </c>
      <c r="N126" s="4">
        <v>9.1999999999999993</v>
      </c>
      <c r="O126" s="4">
        <v>70</v>
      </c>
      <c r="P126" s="4">
        <v>62.8</v>
      </c>
      <c r="Q126" s="4">
        <f t="shared" si="54"/>
        <v>1.1999999999999993</v>
      </c>
      <c r="R126" s="5">
        <f t="shared" si="55"/>
        <v>7.2000000000000028</v>
      </c>
      <c r="V126" s="3" t="s">
        <v>96</v>
      </c>
      <c r="W126" s="4">
        <v>8</v>
      </c>
      <c r="X126" s="4">
        <v>8.1999999999999993</v>
      </c>
      <c r="Y126" s="4">
        <v>70</v>
      </c>
      <c r="Z126" s="4">
        <v>90.8</v>
      </c>
      <c r="AA126" s="4">
        <f t="shared" si="56"/>
        <v>0.19999999999999929</v>
      </c>
      <c r="AB126" s="5">
        <f t="shared" si="57"/>
        <v>20.799999999999997</v>
      </c>
      <c r="AG126" s="3" t="s">
        <v>96</v>
      </c>
      <c r="AH126" s="4">
        <v>8</v>
      </c>
      <c r="AI126" s="4"/>
      <c r="AJ126" s="4">
        <v>70</v>
      </c>
      <c r="AK126" s="4">
        <v>101</v>
      </c>
      <c r="AL126" s="4">
        <f t="shared" si="58"/>
        <v>8</v>
      </c>
      <c r="AM126" s="5">
        <f t="shared" si="59"/>
        <v>31</v>
      </c>
      <c r="AR126" s="3" t="s">
        <v>96</v>
      </c>
      <c r="AS126" s="4">
        <v>8</v>
      </c>
      <c r="AT126" s="4">
        <v>8.1999999999999993</v>
      </c>
      <c r="AU126" s="4">
        <v>70</v>
      </c>
      <c r="AV126" s="4">
        <v>59.1</v>
      </c>
      <c r="AW126" s="4">
        <f t="shared" si="60"/>
        <v>0.19999999999999929</v>
      </c>
      <c r="AX126" s="5">
        <f t="shared" si="61"/>
        <v>10.899999999999999</v>
      </c>
    </row>
    <row r="127" spans="2:50" x14ac:dyDescent="0.25">
      <c r="B127" s="12"/>
      <c r="C127">
        <v>10.4</v>
      </c>
      <c r="D127">
        <v>10.4</v>
      </c>
      <c r="E127">
        <v>85</v>
      </c>
      <c r="F127">
        <v>73.400000000000006</v>
      </c>
      <c r="G127">
        <f t="shared" si="52"/>
        <v>0</v>
      </c>
      <c r="H127" s="13">
        <f t="shared" si="53"/>
        <v>11.599999999999994</v>
      </c>
      <c r="L127" s="12"/>
      <c r="M127">
        <v>10.4</v>
      </c>
      <c r="N127">
        <v>10.199999999999999</v>
      </c>
      <c r="O127">
        <v>85</v>
      </c>
      <c r="P127">
        <v>114.8</v>
      </c>
      <c r="Q127">
        <f t="shared" si="54"/>
        <v>0.20000000000000107</v>
      </c>
      <c r="R127" s="13">
        <f t="shared" si="55"/>
        <v>29.799999999999997</v>
      </c>
      <c r="V127" s="12"/>
      <c r="W127">
        <v>10.4</v>
      </c>
      <c r="X127">
        <v>7</v>
      </c>
      <c r="Y127">
        <v>85</v>
      </c>
      <c r="Z127">
        <v>92.3</v>
      </c>
      <c r="AA127">
        <f t="shared" si="56"/>
        <v>3.4000000000000004</v>
      </c>
      <c r="AB127" s="13">
        <f t="shared" si="57"/>
        <v>7.2999999999999972</v>
      </c>
      <c r="AG127" s="12"/>
      <c r="AH127">
        <v>10.4</v>
      </c>
      <c r="AJ127">
        <v>85</v>
      </c>
      <c r="AK127">
        <v>97.3</v>
      </c>
      <c r="AL127">
        <f t="shared" si="58"/>
        <v>10.4</v>
      </c>
      <c r="AM127" s="13">
        <f t="shared" si="59"/>
        <v>12.299999999999997</v>
      </c>
      <c r="AR127" s="12"/>
      <c r="AS127">
        <v>10.4</v>
      </c>
      <c r="AT127">
        <v>10</v>
      </c>
      <c r="AU127">
        <v>85</v>
      </c>
      <c r="AV127">
        <v>54.5</v>
      </c>
      <c r="AW127">
        <f t="shared" si="60"/>
        <v>0.40000000000000036</v>
      </c>
      <c r="AX127" s="13">
        <f t="shared" si="61"/>
        <v>30.5</v>
      </c>
    </row>
    <row r="128" spans="2:50" x14ac:dyDescent="0.25">
      <c r="B128" s="6"/>
      <c r="C128" s="7">
        <v>8</v>
      </c>
      <c r="D128" s="7">
        <v>8.4</v>
      </c>
      <c r="E128" s="7">
        <v>68</v>
      </c>
      <c r="F128" s="7">
        <v>76.099999999999994</v>
      </c>
      <c r="G128" s="7">
        <f t="shared" si="52"/>
        <v>0.40000000000000036</v>
      </c>
      <c r="H128" s="8">
        <f t="shared" si="53"/>
        <v>8.0999999999999943</v>
      </c>
      <c r="L128" s="6"/>
      <c r="M128" s="7">
        <v>8</v>
      </c>
      <c r="N128" s="7">
        <v>9.4</v>
      </c>
      <c r="O128" s="7">
        <v>68</v>
      </c>
      <c r="P128" s="7">
        <v>59.6</v>
      </c>
      <c r="Q128" s="7">
        <f t="shared" si="54"/>
        <v>1.4000000000000004</v>
      </c>
      <c r="R128" s="8">
        <f t="shared" si="55"/>
        <v>8.3999999999999986</v>
      </c>
      <c r="V128" s="6"/>
      <c r="W128" s="7">
        <v>8</v>
      </c>
      <c r="X128" s="7">
        <v>8.5</v>
      </c>
      <c r="Y128" s="7">
        <v>68</v>
      </c>
      <c r="Z128" s="7">
        <v>94.3</v>
      </c>
      <c r="AA128" s="7">
        <f t="shared" si="56"/>
        <v>0.5</v>
      </c>
      <c r="AB128" s="8">
        <f t="shared" si="57"/>
        <v>26.299999999999997</v>
      </c>
      <c r="AG128" s="6"/>
      <c r="AH128" s="7">
        <v>8</v>
      </c>
      <c r="AI128" s="7"/>
      <c r="AJ128" s="7">
        <v>68</v>
      </c>
      <c r="AK128" s="7">
        <v>83.75</v>
      </c>
      <c r="AL128" s="7">
        <f t="shared" si="58"/>
        <v>8</v>
      </c>
      <c r="AM128" s="8">
        <f t="shared" si="59"/>
        <v>15.75</v>
      </c>
      <c r="AR128" s="6"/>
      <c r="AS128" s="7">
        <v>8</v>
      </c>
      <c r="AT128" s="7">
        <v>8.6</v>
      </c>
      <c r="AU128" s="7">
        <v>68</v>
      </c>
      <c r="AV128" s="7">
        <v>64.900000000000006</v>
      </c>
      <c r="AW128" s="7">
        <f t="shared" si="60"/>
        <v>0.59999999999999964</v>
      </c>
      <c r="AX128" s="8">
        <f t="shared" si="61"/>
        <v>3.0999999999999943</v>
      </c>
    </row>
    <row r="129" spans="2:50" x14ac:dyDescent="0.25">
      <c r="B129" s="3" t="s">
        <v>36</v>
      </c>
      <c r="C129" s="4">
        <v>11.6</v>
      </c>
      <c r="D129" s="4">
        <v>11.4</v>
      </c>
      <c r="E129" s="4">
        <v>92</v>
      </c>
      <c r="F129" s="4">
        <v>66.3</v>
      </c>
      <c r="G129">
        <f t="shared" ref="G129:G187" si="62">ABS(C129-D129)</f>
        <v>0.19999999999999929</v>
      </c>
      <c r="H129" s="13">
        <f t="shared" ref="H129:H136" si="63">ABS(E129-F129)</f>
        <v>25.700000000000003</v>
      </c>
      <c r="L129" s="3" t="s">
        <v>36</v>
      </c>
      <c r="M129" s="4">
        <v>11.6</v>
      </c>
      <c r="N129" s="4">
        <v>10.7</v>
      </c>
      <c r="O129" s="4">
        <v>92</v>
      </c>
      <c r="P129" s="4">
        <v>49.2</v>
      </c>
      <c r="Q129" s="4">
        <f t="shared" ref="Q129:Q188" si="64">ABS(M129-N129)</f>
        <v>0.90000000000000036</v>
      </c>
      <c r="R129" s="5">
        <f t="shared" ref="R129:R136" si="65">ABS(O129-P129)</f>
        <v>42.8</v>
      </c>
      <c r="V129" s="3" t="s">
        <v>36</v>
      </c>
      <c r="W129" s="4">
        <v>11.6</v>
      </c>
      <c r="X129" s="4">
        <v>11.7</v>
      </c>
      <c r="Y129" s="4">
        <v>92</v>
      </c>
      <c r="Z129" s="4">
        <v>83.2</v>
      </c>
      <c r="AA129">
        <f t="shared" ref="AA129:AA188" si="66">ABS(W129-X129)</f>
        <v>9.9999999999999645E-2</v>
      </c>
      <c r="AB129" s="13">
        <f t="shared" ref="AB129:AB136" si="67">ABS(Y129-Z129)</f>
        <v>8.7999999999999972</v>
      </c>
      <c r="AG129" s="3" t="s">
        <v>36</v>
      </c>
      <c r="AH129" s="4">
        <v>11.6</v>
      </c>
      <c r="AI129" s="4"/>
      <c r="AJ129" s="4">
        <v>92</v>
      </c>
      <c r="AK129" s="4">
        <v>234</v>
      </c>
      <c r="AL129">
        <f t="shared" ref="AL129:AL144" si="68">ABS(AH129-AI129)</f>
        <v>11.6</v>
      </c>
      <c r="AM129" s="13">
        <f t="shared" ref="AM129:AM136" si="69">ABS(AJ129-AK129)</f>
        <v>142</v>
      </c>
      <c r="AR129" s="3" t="s">
        <v>36</v>
      </c>
      <c r="AS129" s="4">
        <v>11.6</v>
      </c>
      <c r="AT129" s="4">
        <v>11.4</v>
      </c>
      <c r="AU129" s="4">
        <v>92</v>
      </c>
      <c r="AV129" s="4">
        <v>89.2</v>
      </c>
      <c r="AW129">
        <f t="shared" ref="AW129:AW176" si="70">ABS(AS129-AT129)</f>
        <v>0.19999999999999929</v>
      </c>
      <c r="AX129" s="13">
        <f t="shared" ref="AX129:AX136" si="71">ABS(AU129-AV129)</f>
        <v>2.7999999999999972</v>
      </c>
    </row>
    <row r="130" spans="2:50" x14ac:dyDescent="0.25">
      <c r="B130" s="12"/>
      <c r="C130">
        <v>10</v>
      </c>
      <c r="D130">
        <v>8.1999999999999993</v>
      </c>
      <c r="E130">
        <v>71</v>
      </c>
      <c r="F130">
        <v>69.400000000000006</v>
      </c>
      <c r="G130">
        <f t="shared" si="62"/>
        <v>1.8000000000000007</v>
      </c>
      <c r="H130" s="13">
        <f t="shared" si="63"/>
        <v>1.5999999999999943</v>
      </c>
      <c r="L130" s="12"/>
      <c r="M130">
        <v>10</v>
      </c>
      <c r="N130">
        <v>9.4</v>
      </c>
      <c r="O130">
        <v>71</v>
      </c>
      <c r="P130">
        <v>54</v>
      </c>
      <c r="Q130">
        <f t="shared" si="64"/>
        <v>0.59999999999999964</v>
      </c>
      <c r="R130" s="13">
        <f t="shared" si="65"/>
        <v>17</v>
      </c>
      <c r="V130" s="12"/>
      <c r="W130">
        <v>10</v>
      </c>
      <c r="X130">
        <v>8.1999999999999993</v>
      </c>
      <c r="Y130">
        <v>71</v>
      </c>
      <c r="Z130">
        <v>96.7</v>
      </c>
      <c r="AA130">
        <f t="shared" si="66"/>
        <v>1.8000000000000007</v>
      </c>
      <c r="AB130" s="13">
        <f t="shared" si="67"/>
        <v>25.700000000000003</v>
      </c>
      <c r="AG130" s="12"/>
      <c r="AH130">
        <v>10</v>
      </c>
      <c r="AJ130">
        <v>71</v>
      </c>
      <c r="AK130">
        <v>139</v>
      </c>
      <c r="AL130">
        <f t="shared" si="68"/>
        <v>10</v>
      </c>
      <c r="AM130" s="13">
        <f t="shared" si="69"/>
        <v>68</v>
      </c>
      <c r="AR130" s="12"/>
      <c r="AS130">
        <v>10</v>
      </c>
      <c r="AT130">
        <v>8</v>
      </c>
      <c r="AU130">
        <v>71</v>
      </c>
      <c r="AV130">
        <v>55.9</v>
      </c>
      <c r="AW130">
        <f t="shared" si="70"/>
        <v>2</v>
      </c>
      <c r="AX130" s="13">
        <f t="shared" si="71"/>
        <v>15.100000000000001</v>
      </c>
    </row>
    <row r="131" spans="2:50" x14ac:dyDescent="0.25">
      <c r="B131" s="12"/>
      <c r="C131">
        <v>11.2</v>
      </c>
      <c r="D131">
        <v>11</v>
      </c>
      <c r="E131">
        <v>105</v>
      </c>
      <c r="F131">
        <v>62</v>
      </c>
      <c r="G131">
        <f t="shared" si="62"/>
        <v>0.19999999999999929</v>
      </c>
      <c r="H131" s="13">
        <f t="shared" si="63"/>
        <v>43</v>
      </c>
      <c r="L131" s="12"/>
      <c r="M131">
        <v>11.2</v>
      </c>
      <c r="N131">
        <v>10.4</v>
      </c>
      <c r="O131">
        <v>105</v>
      </c>
      <c r="P131">
        <v>62.8</v>
      </c>
      <c r="Q131">
        <f t="shared" si="64"/>
        <v>0.79999999999999893</v>
      </c>
      <c r="R131" s="13">
        <f t="shared" si="65"/>
        <v>42.2</v>
      </c>
      <c r="V131" s="12"/>
      <c r="W131">
        <v>11.2</v>
      </c>
      <c r="X131">
        <v>10.5</v>
      </c>
      <c r="Y131">
        <v>105</v>
      </c>
      <c r="Z131">
        <v>85</v>
      </c>
      <c r="AA131">
        <f t="shared" si="66"/>
        <v>0.69999999999999929</v>
      </c>
      <c r="AB131" s="13">
        <f t="shared" si="67"/>
        <v>20</v>
      </c>
      <c r="AG131" s="12"/>
      <c r="AH131">
        <v>11.2</v>
      </c>
      <c r="AJ131">
        <v>105</v>
      </c>
      <c r="AK131">
        <v>69.5</v>
      </c>
      <c r="AL131">
        <f t="shared" si="68"/>
        <v>11.2</v>
      </c>
      <c r="AM131" s="13">
        <f t="shared" si="69"/>
        <v>35.5</v>
      </c>
      <c r="AR131" s="12"/>
      <c r="AS131">
        <v>11.2</v>
      </c>
      <c r="AT131">
        <v>10</v>
      </c>
      <c r="AU131">
        <v>105</v>
      </c>
      <c r="AV131">
        <v>57.3</v>
      </c>
      <c r="AW131">
        <f t="shared" si="70"/>
        <v>1.1999999999999993</v>
      </c>
      <c r="AX131" s="13">
        <f t="shared" si="71"/>
        <v>47.7</v>
      </c>
    </row>
    <row r="132" spans="2:50" x14ac:dyDescent="0.25">
      <c r="B132" s="6"/>
      <c r="C132" s="7">
        <v>10.4</v>
      </c>
      <c r="D132" s="7">
        <v>10.7</v>
      </c>
      <c r="E132" s="7">
        <v>72</v>
      </c>
      <c r="F132" s="7">
        <v>68.8</v>
      </c>
      <c r="G132" s="7">
        <f t="shared" si="62"/>
        <v>0.29999999999999893</v>
      </c>
      <c r="H132" s="8">
        <f t="shared" si="63"/>
        <v>3.2000000000000028</v>
      </c>
      <c r="L132" s="6"/>
      <c r="M132" s="7">
        <v>10.4</v>
      </c>
      <c r="N132" s="7">
        <v>10.1</v>
      </c>
      <c r="O132" s="7">
        <v>72</v>
      </c>
      <c r="P132" s="7">
        <v>69.599999999999994</v>
      </c>
      <c r="Q132" s="7">
        <f t="shared" si="64"/>
        <v>0.30000000000000071</v>
      </c>
      <c r="R132" s="8">
        <f t="shared" si="65"/>
        <v>2.4000000000000057</v>
      </c>
      <c r="V132" s="6"/>
      <c r="W132" s="7">
        <v>10.4</v>
      </c>
      <c r="X132" s="7">
        <v>10.5</v>
      </c>
      <c r="Y132" s="7">
        <v>72</v>
      </c>
      <c r="Z132" s="7">
        <v>84</v>
      </c>
      <c r="AA132" s="7">
        <f t="shared" si="66"/>
        <v>9.9999999999999645E-2</v>
      </c>
      <c r="AB132" s="8">
        <f t="shared" si="67"/>
        <v>12</v>
      </c>
      <c r="AG132" s="6"/>
      <c r="AH132" s="7">
        <v>10.4</v>
      </c>
      <c r="AI132" s="7"/>
      <c r="AJ132" s="7">
        <v>72</v>
      </c>
      <c r="AK132" s="7">
        <v>82.3</v>
      </c>
      <c r="AL132" s="7">
        <f t="shared" si="68"/>
        <v>10.4</v>
      </c>
      <c r="AM132" s="8">
        <f t="shared" si="69"/>
        <v>10.299999999999997</v>
      </c>
      <c r="AR132" s="6"/>
      <c r="AS132" s="7">
        <v>10.4</v>
      </c>
      <c r="AT132" s="7">
        <v>11</v>
      </c>
      <c r="AU132" s="7">
        <v>72</v>
      </c>
      <c r="AV132" s="7">
        <v>72.900000000000006</v>
      </c>
      <c r="AW132" s="7">
        <f t="shared" si="70"/>
        <v>0.59999999999999964</v>
      </c>
      <c r="AX132" s="8">
        <f t="shared" si="71"/>
        <v>0.90000000000000568</v>
      </c>
    </row>
    <row r="133" spans="2:50" x14ac:dyDescent="0.25">
      <c r="B133" s="3" t="s">
        <v>37</v>
      </c>
      <c r="C133" s="4">
        <v>12.8</v>
      </c>
      <c r="D133" s="4">
        <v>12.3</v>
      </c>
      <c r="E133" s="4">
        <v>95</v>
      </c>
      <c r="F133" s="4">
        <v>56.6</v>
      </c>
      <c r="G133">
        <f t="shared" si="62"/>
        <v>0.5</v>
      </c>
      <c r="H133" s="13">
        <f t="shared" si="63"/>
        <v>38.4</v>
      </c>
      <c r="L133" s="3" t="s">
        <v>37</v>
      </c>
      <c r="M133" s="4">
        <v>12.8</v>
      </c>
      <c r="N133" s="4">
        <v>12.9</v>
      </c>
      <c r="O133" s="4">
        <v>95</v>
      </c>
      <c r="P133" s="4">
        <v>50</v>
      </c>
      <c r="Q133">
        <f t="shared" si="64"/>
        <v>9.9999999999999645E-2</v>
      </c>
      <c r="R133" s="13">
        <f t="shared" si="65"/>
        <v>45</v>
      </c>
      <c r="V133" s="3" t="s">
        <v>37</v>
      </c>
      <c r="W133" s="4">
        <v>12.8</v>
      </c>
      <c r="X133" s="4">
        <v>12.9</v>
      </c>
      <c r="Y133" s="4">
        <v>95</v>
      </c>
      <c r="Z133" s="4">
        <v>95.5</v>
      </c>
      <c r="AA133">
        <f t="shared" si="66"/>
        <v>9.9999999999999645E-2</v>
      </c>
      <c r="AB133" s="13">
        <f t="shared" si="67"/>
        <v>0.5</v>
      </c>
      <c r="AG133" s="3" t="s">
        <v>37</v>
      </c>
      <c r="AH133" s="4">
        <v>12.8</v>
      </c>
      <c r="AI133" s="4"/>
      <c r="AJ133" s="4">
        <v>95</v>
      </c>
      <c r="AK133" s="4">
        <v>150</v>
      </c>
      <c r="AL133">
        <f t="shared" si="68"/>
        <v>12.8</v>
      </c>
      <c r="AM133" s="13">
        <f t="shared" si="69"/>
        <v>55</v>
      </c>
      <c r="AR133" s="3" t="s">
        <v>37</v>
      </c>
      <c r="AS133" s="4">
        <v>12.8</v>
      </c>
      <c r="AT133" s="4">
        <v>12.4</v>
      </c>
      <c r="AU133" s="4">
        <v>95</v>
      </c>
      <c r="AV133" s="4">
        <v>63.7</v>
      </c>
      <c r="AW133">
        <f t="shared" si="70"/>
        <v>0.40000000000000036</v>
      </c>
      <c r="AX133" s="13">
        <f t="shared" si="71"/>
        <v>31.299999999999997</v>
      </c>
    </row>
    <row r="134" spans="2:50" x14ac:dyDescent="0.25">
      <c r="B134" s="12"/>
      <c r="C134">
        <v>10</v>
      </c>
      <c r="D134">
        <v>10</v>
      </c>
      <c r="E134">
        <v>76</v>
      </c>
      <c r="F134">
        <v>63.9</v>
      </c>
      <c r="G134">
        <f t="shared" si="62"/>
        <v>0</v>
      </c>
      <c r="H134" s="13">
        <f t="shared" si="63"/>
        <v>12.100000000000001</v>
      </c>
      <c r="L134" s="12"/>
      <c r="M134">
        <v>10</v>
      </c>
      <c r="N134">
        <v>9.8000000000000007</v>
      </c>
      <c r="O134">
        <v>76</v>
      </c>
      <c r="P134">
        <v>58.4</v>
      </c>
      <c r="Q134">
        <f t="shared" si="64"/>
        <v>0.19999999999999929</v>
      </c>
      <c r="R134" s="13">
        <f t="shared" si="65"/>
        <v>17.600000000000001</v>
      </c>
      <c r="V134" s="12"/>
      <c r="W134">
        <v>10</v>
      </c>
      <c r="X134">
        <v>10.5</v>
      </c>
      <c r="Y134">
        <v>76</v>
      </c>
      <c r="Z134">
        <v>80.599999999999994</v>
      </c>
      <c r="AA134">
        <f t="shared" si="66"/>
        <v>0.5</v>
      </c>
      <c r="AB134" s="13">
        <f t="shared" si="67"/>
        <v>4.5999999999999943</v>
      </c>
      <c r="AG134" s="12"/>
      <c r="AH134">
        <v>10</v>
      </c>
      <c r="AJ134">
        <v>76</v>
      </c>
      <c r="AK134">
        <v>61</v>
      </c>
      <c r="AL134">
        <f t="shared" si="68"/>
        <v>10</v>
      </c>
      <c r="AM134" s="13">
        <f t="shared" si="69"/>
        <v>15</v>
      </c>
      <c r="AR134" s="12"/>
      <c r="AS134">
        <v>10</v>
      </c>
      <c r="AT134">
        <v>10</v>
      </c>
      <c r="AU134">
        <v>76</v>
      </c>
      <c r="AV134">
        <v>63.2</v>
      </c>
      <c r="AW134">
        <f t="shared" si="70"/>
        <v>0</v>
      </c>
      <c r="AX134" s="13">
        <f t="shared" si="71"/>
        <v>12.799999999999997</v>
      </c>
    </row>
    <row r="135" spans="2:50" x14ac:dyDescent="0.25">
      <c r="B135" s="12"/>
      <c r="C135">
        <v>10</v>
      </c>
      <c r="D135">
        <v>9</v>
      </c>
      <c r="E135">
        <v>72</v>
      </c>
      <c r="F135">
        <v>66</v>
      </c>
      <c r="G135">
        <f t="shared" si="62"/>
        <v>1</v>
      </c>
      <c r="H135" s="13">
        <f t="shared" si="63"/>
        <v>6</v>
      </c>
      <c r="L135" s="12"/>
      <c r="M135">
        <v>10</v>
      </c>
      <c r="N135">
        <v>9.5</v>
      </c>
      <c r="O135">
        <v>72</v>
      </c>
      <c r="P135">
        <v>50.8</v>
      </c>
      <c r="Q135">
        <f t="shared" si="64"/>
        <v>0.5</v>
      </c>
      <c r="R135" s="13">
        <f t="shared" si="65"/>
        <v>21.200000000000003</v>
      </c>
      <c r="V135" s="12"/>
      <c r="W135">
        <v>10</v>
      </c>
      <c r="X135">
        <v>9.4</v>
      </c>
      <c r="Y135">
        <v>72</v>
      </c>
      <c r="Z135">
        <v>79.7</v>
      </c>
      <c r="AA135">
        <f t="shared" si="66"/>
        <v>0.59999999999999964</v>
      </c>
      <c r="AB135" s="13">
        <f t="shared" si="67"/>
        <v>7.7000000000000028</v>
      </c>
      <c r="AG135" s="12"/>
      <c r="AH135">
        <v>10</v>
      </c>
      <c r="AJ135">
        <v>72</v>
      </c>
      <c r="AK135">
        <v>72.7</v>
      </c>
      <c r="AL135">
        <f t="shared" si="68"/>
        <v>10</v>
      </c>
      <c r="AM135" s="13">
        <f t="shared" si="69"/>
        <v>0.70000000000000284</v>
      </c>
      <c r="AR135" s="12"/>
      <c r="AS135">
        <v>10</v>
      </c>
      <c r="AT135">
        <v>9.6</v>
      </c>
      <c r="AU135">
        <v>72</v>
      </c>
      <c r="AV135">
        <v>94.8</v>
      </c>
      <c r="AW135">
        <f t="shared" si="70"/>
        <v>0.40000000000000036</v>
      </c>
      <c r="AX135" s="13">
        <f t="shared" si="71"/>
        <v>22.799999999999997</v>
      </c>
    </row>
    <row r="136" spans="2:50" x14ac:dyDescent="0.25">
      <c r="B136" s="6"/>
      <c r="C136" s="7">
        <v>10</v>
      </c>
      <c r="D136" s="7">
        <v>10.8</v>
      </c>
      <c r="E136" s="7">
        <v>102</v>
      </c>
      <c r="F136" s="7">
        <v>81</v>
      </c>
      <c r="G136" s="7">
        <f t="shared" si="62"/>
        <v>0.80000000000000071</v>
      </c>
      <c r="H136" s="13">
        <f t="shared" si="63"/>
        <v>21</v>
      </c>
      <c r="L136" s="6"/>
      <c r="M136" s="7">
        <v>10</v>
      </c>
      <c r="N136" s="7">
        <v>9.6999999999999993</v>
      </c>
      <c r="O136" s="7">
        <v>102</v>
      </c>
      <c r="P136" s="7">
        <v>102</v>
      </c>
      <c r="Q136" s="7">
        <f t="shared" si="64"/>
        <v>0.30000000000000071</v>
      </c>
      <c r="R136" s="8">
        <f t="shared" si="65"/>
        <v>0</v>
      </c>
      <c r="V136" s="6"/>
      <c r="W136" s="7">
        <v>10</v>
      </c>
      <c r="X136" s="7">
        <v>10</v>
      </c>
      <c r="Y136" s="7">
        <v>102</v>
      </c>
      <c r="Z136" s="7">
        <v>101</v>
      </c>
      <c r="AA136" s="7">
        <f t="shared" si="66"/>
        <v>0</v>
      </c>
      <c r="AB136" s="8">
        <f t="shared" si="67"/>
        <v>1</v>
      </c>
      <c r="AG136" s="6"/>
      <c r="AH136" s="7">
        <v>10</v>
      </c>
      <c r="AI136" s="7"/>
      <c r="AJ136" s="7">
        <v>102</v>
      </c>
      <c r="AK136" s="7">
        <v>136.80000000000001</v>
      </c>
      <c r="AL136" s="7">
        <f t="shared" si="68"/>
        <v>10</v>
      </c>
      <c r="AM136" s="8">
        <f t="shared" si="69"/>
        <v>34.800000000000011</v>
      </c>
      <c r="AR136" s="6"/>
      <c r="AS136" s="7">
        <v>10</v>
      </c>
      <c r="AT136" s="7">
        <v>11.4</v>
      </c>
      <c r="AU136" s="7">
        <v>102</v>
      </c>
      <c r="AV136" s="7">
        <v>98.8</v>
      </c>
      <c r="AW136" s="7">
        <f t="shared" si="70"/>
        <v>1.4000000000000004</v>
      </c>
      <c r="AX136" s="8">
        <f t="shared" si="71"/>
        <v>3.2000000000000028</v>
      </c>
    </row>
    <row r="137" spans="2:50" x14ac:dyDescent="0.25">
      <c r="B137" s="3" t="s">
        <v>38</v>
      </c>
      <c r="C137" s="4">
        <v>10.8</v>
      </c>
      <c r="D137" s="4">
        <v>10</v>
      </c>
      <c r="E137" s="4">
        <v>91</v>
      </c>
      <c r="F137" s="4">
        <v>68.8</v>
      </c>
      <c r="G137" s="4">
        <f t="shared" si="62"/>
        <v>0.80000000000000071</v>
      </c>
      <c r="H137" s="5">
        <f>ABS(F137-E137)</f>
        <v>22.200000000000003</v>
      </c>
      <c r="L137" s="3" t="s">
        <v>38</v>
      </c>
      <c r="M137" s="4">
        <v>10.8</v>
      </c>
      <c r="N137" s="4">
        <v>10</v>
      </c>
      <c r="O137" s="4">
        <v>91</v>
      </c>
      <c r="P137" s="4">
        <v>118.8</v>
      </c>
      <c r="Q137" s="4">
        <f t="shared" si="64"/>
        <v>0.80000000000000071</v>
      </c>
      <c r="R137" s="5">
        <f>ABS(P137-O137)</f>
        <v>27.799999999999997</v>
      </c>
      <c r="V137" s="3" t="s">
        <v>38</v>
      </c>
      <c r="W137" s="4">
        <v>10.8</v>
      </c>
      <c r="X137" s="4">
        <v>10</v>
      </c>
      <c r="Y137" s="4">
        <v>91</v>
      </c>
      <c r="Z137" s="4">
        <v>81.2</v>
      </c>
      <c r="AA137" s="4">
        <f t="shared" si="66"/>
        <v>0.80000000000000071</v>
      </c>
      <c r="AB137" s="5">
        <f>ABS(Z137-Y137)</f>
        <v>9.7999999999999972</v>
      </c>
      <c r="AG137" s="3" t="s">
        <v>38</v>
      </c>
      <c r="AH137" s="4">
        <v>10.8</v>
      </c>
      <c r="AI137" s="4"/>
      <c r="AJ137" s="4">
        <v>91</v>
      </c>
      <c r="AK137" s="4">
        <v>114.6</v>
      </c>
      <c r="AL137" s="4">
        <f t="shared" si="68"/>
        <v>10.8</v>
      </c>
      <c r="AM137" s="5">
        <f>ABS(AK137-AJ137)</f>
        <v>23.599999999999994</v>
      </c>
      <c r="AR137" s="3" t="s">
        <v>38</v>
      </c>
      <c r="AS137" s="4">
        <v>10.8</v>
      </c>
      <c r="AT137" s="4">
        <v>10</v>
      </c>
      <c r="AU137" s="4">
        <v>91</v>
      </c>
      <c r="AV137" s="4">
        <v>70.2</v>
      </c>
      <c r="AW137" s="4">
        <f t="shared" si="70"/>
        <v>0.80000000000000071</v>
      </c>
      <c r="AX137" s="5">
        <f>ABS(AV137-AU137)</f>
        <v>20.799999999999997</v>
      </c>
    </row>
    <row r="138" spans="2:50" x14ac:dyDescent="0.25">
      <c r="B138" s="12"/>
      <c r="C138">
        <v>8.8000000000000007</v>
      </c>
      <c r="D138">
        <v>8.1999999999999993</v>
      </c>
      <c r="E138">
        <v>94</v>
      </c>
      <c r="F138">
        <v>69.3</v>
      </c>
      <c r="G138">
        <f t="shared" si="62"/>
        <v>0.60000000000000142</v>
      </c>
      <c r="H138" s="13">
        <f t="shared" ref="H138:H167" si="72">ABS(F138-E138)</f>
        <v>24.700000000000003</v>
      </c>
      <c r="L138" s="12"/>
      <c r="M138">
        <v>8.8000000000000007</v>
      </c>
      <c r="N138">
        <v>9.4</v>
      </c>
      <c r="O138">
        <v>94</v>
      </c>
      <c r="P138">
        <v>76.400000000000006</v>
      </c>
      <c r="Q138">
        <f t="shared" si="64"/>
        <v>0.59999999999999964</v>
      </c>
      <c r="R138" s="13">
        <f t="shared" ref="R138:R188" si="73">ABS(P138-O138)</f>
        <v>17.599999999999994</v>
      </c>
      <c r="V138" s="12"/>
      <c r="W138">
        <v>8.8000000000000007</v>
      </c>
      <c r="X138">
        <v>7.3</v>
      </c>
      <c r="Y138">
        <v>94</v>
      </c>
      <c r="Z138">
        <v>83.5</v>
      </c>
      <c r="AA138">
        <f t="shared" si="66"/>
        <v>1.5000000000000009</v>
      </c>
      <c r="AB138" s="13">
        <f t="shared" ref="AB138:AB188" si="74">ABS(Z138-Y138)</f>
        <v>10.5</v>
      </c>
      <c r="AG138" s="12"/>
      <c r="AH138">
        <v>8.8000000000000007</v>
      </c>
      <c r="AJ138">
        <v>94</v>
      </c>
      <c r="AK138">
        <v>74.5</v>
      </c>
      <c r="AL138">
        <f t="shared" si="68"/>
        <v>8.8000000000000007</v>
      </c>
      <c r="AM138" s="13">
        <f t="shared" ref="AM138:AM144" si="75">ABS(AK138-AJ138)</f>
        <v>19.5</v>
      </c>
      <c r="AR138" s="12"/>
      <c r="AS138">
        <v>8.8000000000000007</v>
      </c>
      <c r="AT138">
        <v>10.4</v>
      </c>
      <c r="AU138">
        <v>94</v>
      </c>
      <c r="AV138">
        <v>63.3</v>
      </c>
      <c r="AW138">
        <f t="shared" si="70"/>
        <v>1.5999999999999996</v>
      </c>
      <c r="AX138" s="13">
        <f t="shared" ref="AX138:AX176" si="76">ABS(AV138-AU138)</f>
        <v>30.700000000000003</v>
      </c>
    </row>
    <row r="139" spans="2:50" x14ac:dyDescent="0.25">
      <c r="B139" s="12"/>
      <c r="C139">
        <v>10</v>
      </c>
      <c r="D139">
        <v>9.5</v>
      </c>
      <c r="E139">
        <v>76</v>
      </c>
      <c r="F139">
        <v>78.400000000000006</v>
      </c>
      <c r="G139">
        <f t="shared" si="62"/>
        <v>0.5</v>
      </c>
      <c r="H139" s="13">
        <f t="shared" si="72"/>
        <v>2.4000000000000057</v>
      </c>
      <c r="L139" s="12"/>
      <c r="M139">
        <v>10</v>
      </c>
      <c r="N139">
        <v>9.6</v>
      </c>
      <c r="O139">
        <v>76</v>
      </c>
      <c r="P139">
        <v>85.6</v>
      </c>
      <c r="Q139">
        <f t="shared" si="64"/>
        <v>0.40000000000000036</v>
      </c>
      <c r="R139" s="13">
        <f t="shared" si="73"/>
        <v>9.5999999999999943</v>
      </c>
      <c r="V139" s="12"/>
      <c r="W139">
        <v>10</v>
      </c>
      <c r="X139">
        <v>9</v>
      </c>
      <c r="Y139">
        <v>76</v>
      </c>
      <c r="Z139">
        <v>77.599999999999994</v>
      </c>
      <c r="AA139">
        <f t="shared" si="66"/>
        <v>1</v>
      </c>
      <c r="AB139" s="13">
        <f t="shared" si="74"/>
        <v>1.5999999999999943</v>
      </c>
      <c r="AG139" s="12"/>
      <c r="AH139">
        <v>10</v>
      </c>
      <c r="AJ139">
        <v>76</v>
      </c>
      <c r="AK139">
        <v>172</v>
      </c>
      <c r="AL139">
        <f t="shared" si="68"/>
        <v>10</v>
      </c>
      <c r="AM139" s="13">
        <f t="shared" si="75"/>
        <v>96</v>
      </c>
      <c r="AR139" s="12"/>
      <c r="AS139">
        <v>10</v>
      </c>
      <c r="AT139">
        <v>10.8</v>
      </c>
      <c r="AU139">
        <v>76</v>
      </c>
      <c r="AV139">
        <v>66</v>
      </c>
      <c r="AW139">
        <f t="shared" si="70"/>
        <v>0.80000000000000071</v>
      </c>
      <c r="AX139" s="13">
        <f t="shared" si="76"/>
        <v>10</v>
      </c>
    </row>
    <row r="140" spans="2:50" x14ac:dyDescent="0.25">
      <c r="B140" s="6"/>
      <c r="C140" s="7">
        <v>8.8000000000000007</v>
      </c>
      <c r="D140" s="7">
        <v>9.6999999999999993</v>
      </c>
      <c r="E140" s="7">
        <v>94</v>
      </c>
      <c r="F140" s="7">
        <v>83.2</v>
      </c>
      <c r="G140" s="7">
        <f t="shared" si="62"/>
        <v>0.89999999999999858</v>
      </c>
      <c r="H140" s="13">
        <f t="shared" si="72"/>
        <v>10.799999999999997</v>
      </c>
      <c r="L140" s="6"/>
      <c r="M140" s="7">
        <v>8.8000000000000007</v>
      </c>
      <c r="N140" s="7">
        <v>9.8000000000000007</v>
      </c>
      <c r="O140" s="7">
        <v>94</v>
      </c>
      <c r="P140" s="7">
        <v>113</v>
      </c>
      <c r="Q140" s="7">
        <f t="shared" si="64"/>
        <v>1</v>
      </c>
      <c r="R140" s="13">
        <f t="shared" si="73"/>
        <v>19</v>
      </c>
      <c r="V140" s="6"/>
      <c r="W140" s="7">
        <v>8.8000000000000007</v>
      </c>
      <c r="X140" s="7">
        <v>9</v>
      </c>
      <c r="Y140" s="7">
        <v>94</v>
      </c>
      <c r="Z140" s="7">
        <v>87</v>
      </c>
      <c r="AA140" s="7">
        <f t="shared" si="66"/>
        <v>0.19999999999999929</v>
      </c>
      <c r="AB140" s="13">
        <f t="shared" si="74"/>
        <v>7</v>
      </c>
      <c r="AG140" s="6"/>
      <c r="AH140" s="7">
        <v>8.8000000000000007</v>
      </c>
      <c r="AI140" s="7"/>
      <c r="AJ140" s="7">
        <v>94</v>
      </c>
      <c r="AK140" s="7">
        <v>165</v>
      </c>
      <c r="AL140" s="7">
        <f t="shared" si="68"/>
        <v>8.8000000000000007</v>
      </c>
      <c r="AM140" s="13">
        <f t="shared" si="75"/>
        <v>71</v>
      </c>
      <c r="AR140" s="6"/>
      <c r="AS140" s="7">
        <v>8.8000000000000007</v>
      </c>
      <c r="AT140" s="7">
        <v>9.6</v>
      </c>
      <c r="AU140" s="7">
        <v>94</v>
      </c>
      <c r="AV140" s="7">
        <v>77.3</v>
      </c>
      <c r="AW140" s="7">
        <f t="shared" si="70"/>
        <v>0.79999999999999893</v>
      </c>
      <c r="AX140" s="13">
        <f t="shared" si="76"/>
        <v>16.700000000000003</v>
      </c>
    </row>
    <row r="141" spans="2:50" x14ac:dyDescent="0.25">
      <c r="B141" s="3" t="s">
        <v>39</v>
      </c>
      <c r="C141" s="4">
        <v>10.8</v>
      </c>
      <c r="D141" s="4">
        <v>10.7</v>
      </c>
      <c r="E141" s="4">
        <v>95</v>
      </c>
      <c r="F141" s="4">
        <v>68.7</v>
      </c>
      <c r="G141" s="4">
        <f t="shared" si="62"/>
        <v>0.10000000000000142</v>
      </c>
      <c r="H141" s="5">
        <f t="shared" si="72"/>
        <v>26.299999999999997</v>
      </c>
      <c r="L141" s="3" t="s">
        <v>39</v>
      </c>
      <c r="M141" s="4">
        <v>10.8</v>
      </c>
      <c r="N141" s="4">
        <v>10.1</v>
      </c>
      <c r="O141" s="4">
        <v>95</v>
      </c>
      <c r="P141" s="4">
        <v>93.6</v>
      </c>
      <c r="Q141" s="4">
        <f t="shared" si="64"/>
        <v>0.70000000000000107</v>
      </c>
      <c r="R141" s="5">
        <f t="shared" si="73"/>
        <v>1.4000000000000057</v>
      </c>
      <c r="V141" s="3" t="s">
        <v>39</v>
      </c>
      <c r="W141" s="4">
        <v>10.8</v>
      </c>
      <c r="X141" s="4">
        <v>10.5</v>
      </c>
      <c r="Y141" s="4">
        <v>95</v>
      </c>
      <c r="Z141" s="4">
        <v>88.5</v>
      </c>
      <c r="AA141" s="4">
        <f t="shared" si="66"/>
        <v>0.30000000000000071</v>
      </c>
      <c r="AB141" s="5">
        <f t="shared" si="74"/>
        <v>6.5</v>
      </c>
      <c r="AG141" s="3" t="s">
        <v>39</v>
      </c>
      <c r="AH141" s="4">
        <v>10.8</v>
      </c>
      <c r="AI141" s="4"/>
      <c r="AJ141" s="4">
        <v>95</v>
      </c>
      <c r="AK141" s="4">
        <v>106.5</v>
      </c>
      <c r="AL141" s="4">
        <f t="shared" si="68"/>
        <v>10.8</v>
      </c>
      <c r="AM141" s="5">
        <f t="shared" si="75"/>
        <v>11.5</v>
      </c>
      <c r="AR141" s="3" t="s">
        <v>39</v>
      </c>
      <c r="AS141" s="4">
        <v>10.8</v>
      </c>
      <c r="AT141" s="4">
        <v>10.6</v>
      </c>
      <c r="AU141" s="4">
        <v>95</v>
      </c>
      <c r="AV141" s="4">
        <v>56.5</v>
      </c>
      <c r="AW141" s="4">
        <f t="shared" si="70"/>
        <v>0.20000000000000107</v>
      </c>
      <c r="AX141" s="5">
        <f t="shared" si="76"/>
        <v>38.5</v>
      </c>
    </row>
    <row r="142" spans="2:50" x14ac:dyDescent="0.25">
      <c r="B142" s="12"/>
      <c r="C142">
        <v>9.1999999999999993</v>
      </c>
      <c r="D142">
        <v>8.9</v>
      </c>
      <c r="E142">
        <v>101</v>
      </c>
      <c r="F142">
        <v>72.599999999999994</v>
      </c>
      <c r="G142">
        <f t="shared" si="62"/>
        <v>0.29999999999999893</v>
      </c>
      <c r="H142" s="13">
        <f t="shared" si="72"/>
        <v>28.400000000000006</v>
      </c>
      <c r="L142" s="12"/>
      <c r="M142">
        <v>9.1999999999999993</v>
      </c>
      <c r="N142">
        <v>9.3000000000000007</v>
      </c>
      <c r="O142">
        <v>101</v>
      </c>
      <c r="P142">
        <v>50.5</v>
      </c>
      <c r="Q142">
        <f t="shared" si="64"/>
        <v>0.10000000000000142</v>
      </c>
      <c r="R142" s="13">
        <f t="shared" si="73"/>
        <v>50.5</v>
      </c>
      <c r="V142" s="12"/>
      <c r="W142">
        <v>9.1999999999999993</v>
      </c>
      <c r="X142">
        <v>8.1999999999999993</v>
      </c>
      <c r="Y142">
        <v>101</v>
      </c>
      <c r="Z142">
        <v>95.8</v>
      </c>
      <c r="AA142">
        <f t="shared" si="66"/>
        <v>1</v>
      </c>
      <c r="AB142" s="13">
        <f t="shared" si="74"/>
        <v>5.2000000000000028</v>
      </c>
      <c r="AG142" s="12"/>
      <c r="AH142">
        <v>9.1999999999999993</v>
      </c>
      <c r="AJ142">
        <v>101</v>
      </c>
      <c r="AK142">
        <v>64.3</v>
      </c>
      <c r="AL142">
        <f t="shared" si="68"/>
        <v>9.1999999999999993</v>
      </c>
      <c r="AM142" s="13">
        <f t="shared" si="75"/>
        <v>36.700000000000003</v>
      </c>
      <c r="AR142" s="12"/>
      <c r="AS142">
        <v>9.1999999999999993</v>
      </c>
      <c r="AT142">
        <v>8.6</v>
      </c>
      <c r="AU142">
        <v>101</v>
      </c>
      <c r="AV142">
        <v>66.599999999999994</v>
      </c>
      <c r="AW142">
        <f t="shared" si="70"/>
        <v>0.59999999999999964</v>
      </c>
      <c r="AX142" s="13">
        <f t="shared" si="76"/>
        <v>34.400000000000006</v>
      </c>
    </row>
    <row r="143" spans="2:50" x14ac:dyDescent="0.25">
      <c r="B143" s="12"/>
      <c r="C143">
        <v>10</v>
      </c>
      <c r="D143">
        <v>7.1</v>
      </c>
      <c r="E143">
        <v>90</v>
      </c>
      <c r="F143">
        <v>70.8</v>
      </c>
      <c r="G143">
        <f t="shared" si="62"/>
        <v>2.9000000000000004</v>
      </c>
      <c r="H143" s="13">
        <f t="shared" si="72"/>
        <v>19.200000000000003</v>
      </c>
      <c r="L143" s="12"/>
      <c r="M143">
        <v>10</v>
      </c>
      <c r="N143">
        <v>8.8000000000000007</v>
      </c>
      <c r="O143">
        <v>90</v>
      </c>
      <c r="P143">
        <v>58.8</v>
      </c>
      <c r="Q143">
        <f t="shared" si="64"/>
        <v>1.1999999999999993</v>
      </c>
      <c r="R143" s="13">
        <f t="shared" si="73"/>
        <v>31.200000000000003</v>
      </c>
      <c r="V143" s="12"/>
      <c r="W143">
        <v>10</v>
      </c>
      <c r="X143">
        <v>7</v>
      </c>
      <c r="Y143">
        <v>90</v>
      </c>
      <c r="Z143">
        <v>88.5</v>
      </c>
      <c r="AA143">
        <f t="shared" si="66"/>
        <v>3</v>
      </c>
      <c r="AB143" s="13">
        <f t="shared" si="74"/>
        <v>1.5</v>
      </c>
      <c r="AG143" s="12"/>
      <c r="AH143">
        <v>10</v>
      </c>
      <c r="AJ143">
        <v>90</v>
      </c>
      <c r="AK143">
        <v>102</v>
      </c>
      <c r="AL143">
        <f t="shared" si="68"/>
        <v>10</v>
      </c>
      <c r="AM143" s="13">
        <f t="shared" si="75"/>
        <v>12</v>
      </c>
      <c r="AR143" s="12"/>
      <c r="AS143">
        <v>10</v>
      </c>
      <c r="AT143">
        <v>6.4</v>
      </c>
      <c r="AU143">
        <v>90</v>
      </c>
      <c r="AV143">
        <v>70.400000000000006</v>
      </c>
      <c r="AW143">
        <f t="shared" si="70"/>
        <v>3.5999999999999996</v>
      </c>
      <c r="AX143" s="13">
        <f t="shared" si="76"/>
        <v>19.599999999999994</v>
      </c>
    </row>
    <row r="144" spans="2:50" x14ac:dyDescent="0.25">
      <c r="B144" s="6"/>
      <c r="C144" s="7">
        <v>10.8</v>
      </c>
      <c r="D144" s="7">
        <v>8</v>
      </c>
      <c r="E144" s="7">
        <v>75</v>
      </c>
      <c r="F144" s="7">
        <v>65</v>
      </c>
      <c r="G144" s="7">
        <f t="shared" si="62"/>
        <v>2.8000000000000007</v>
      </c>
      <c r="H144" s="8">
        <f t="shared" si="72"/>
        <v>10</v>
      </c>
      <c r="L144" s="6"/>
      <c r="M144" s="7">
        <v>10.8</v>
      </c>
      <c r="N144" s="7">
        <v>9.4</v>
      </c>
      <c r="O144" s="7">
        <v>75</v>
      </c>
      <c r="P144" s="7">
        <v>53.2</v>
      </c>
      <c r="Q144" s="7">
        <f t="shared" si="64"/>
        <v>1.4000000000000004</v>
      </c>
      <c r="R144" s="13">
        <f t="shared" si="73"/>
        <v>21.799999999999997</v>
      </c>
      <c r="V144" s="6"/>
      <c r="W144" s="7">
        <v>10.8</v>
      </c>
      <c r="X144" s="7">
        <v>7.3</v>
      </c>
      <c r="Y144" s="7">
        <v>75</v>
      </c>
      <c r="Z144" s="7">
        <v>86.1</v>
      </c>
      <c r="AA144" s="7">
        <f t="shared" si="66"/>
        <v>3.5000000000000009</v>
      </c>
      <c r="AB144" s="13">
        <f t="shared" si="74"/>
        <v>11.099999999999994</v>
      </c>
      <c r="AG144" s="6"/>
      <c r="AH144" s="7">
        <v>10.8</v>
      </c>
      <c r="AI144" s="7"/>
      <c r="AJ144" s="7">
        <v>75</v>
      </c>
      <c r="AK144" s="7">
        <v>181.5</v>
      </c>
      <c r="AL144" s="7">
        <f t="shared" si="68"/>
        <v>10.8</v>
      </c>
      <c r="AM144" s="8">
        <f t="shared" si="75"/>
        <v>106.5</v>
      </c>
      <c r="AR144" s="6"/>
      <c r="AS144" s="7">
        <v>10.8</v>
      </c>
      <c r="AT144" s="7">
        <v>8.6999999999999993</v>
      </c>
      <c r="AU144" s="7">
        <v>75</v>
      </c>
      <c r="AV144" s="7">
        <v>55.6</v>
      </c>
      <c r="AW144" s="7">
        <f t="shared" si="70"/>
        <v>2.1000000000000014</v>
      </c>
      <c r="AX144" s="13">
        <f t="shared" si="76"/>
        <v>19.399999999999999</v>
      </c>
    </row>
    <row r="145" spans="2:50" x14ac:dyDescent="0.25">
      <c r="B145" s="3" t="s">
        <v>100</v>
      </c>
      <c r="C145" s="4">
        <v>12.6</v>
      </c>
      <c r="D145" s="4">
        <v>12</v>
      </c>
      <c r="E145" s="4">
        <v>86</v>
      </c>
      <c r="F145" s="4">
        <v>80.8</v>
      </c>
      <c r="G145" s="4">
        <f t="shared" si="62"/>
        <v>0.59999999999999964</v>
      </c>
      <c r="H145" s="5">
        <f t="shared" si="72"/>
        <v>5.2000000000000028</v>
      </c>
      <c r="L145" s="3" t="s">
        <v>100</v>
      </c>
      <c r="M145" s="4">
        <v>12.6</v>
      </c>
      <c r="N145" s="4">
        <v>12.8</v>
      </c>
      <c r="O145" s="4">
        <v>86</v>
      </c>
      <c r="P145" s="4">
        <v>87.2</v>
      </c>
      <c r="Q145" s="4">
        <f t="shared" si="64"/>
        <v>0.20000000000000107</v>
      </c>
      <c r="R145" s="5">
        <f t="shared" si="73"/>
        <v>1.2000000000000028</v>
      </c>
      <c r="V145" s="3" t="s">
        <v>100</v>
      </c>
      <c r="W145" s="4">
        <v>12.6</v>
      </c>
      <c r="X145" s="4">
        <v>11.7</v>
      </c>
      <c r="Y145" s="4">
        <v>86</v>
      </c>
      <c r="Z145" s="4">
        <v>87.9</v>
      </c>
      <c r="AA145" s="4">
        <f t="shared" si="66"/>
        <v>0.90000000000000036</v>
      </c>
      <c r="AB145" s="5">
        <f t="shared" si="74"/>
        <v>1.9000000000000057</v>
      </c>
      <c r="AG145" s="3" t="s">
        <v>100</v>
      </c>
      <c r="AH145" s="4">
        <v>12.6</v>
      </c>
      <c r="AI145" s="4"/>
      <c r="AJ145" s="4">
        <v>86</v>
      </c>
      <c r="AK145" s="4"/>
      <c r="AL145" s="4"/>
      <c r="AM145" s="5"/>
      <c r="AR145" s="3" t="s">
        <v>100</v>
      </c>
      <c r="AS145" s="4">
        <v>12.6</v>
      </c>
      <c r="AT145" s="4">
        <v>12</v>
      </c>
      <c r="AU145" s="4">
        <v>86</v>
      </c>
      <c r="AV145" s="4">
        <v>79</v>
      </c>
      <c r="AW145" s="4">
        <f t="shared" si="70"/>
        <v>0.59999999999999964</v>
      </c>
      <c r="AX145" s="5">
        <f t="shared" si="76"/>
        <v>7</v>
      </c>
    </row>
    <row r="146" spans="2:50" x14ac:dyDescent="0.25">
      <c r="B146" s="12"/>
      <c r="C146">
        <v>10.4</v>
      </c>
      <c r="D146">
        <v>10.8</v>
      </c>
      <c r="E146">
        <v>94</v>
      </c>
      <c r="F146">
        <v>67.5</v>
      </c>
      <c r="G146">
        <f t="shared" si="62"/>
        <v>0.40000000000000036</v>
      </c>
      <c r="H146" s="13">
        <f t="shared" si="72"/>
        <v>26.5</v>
      </c>
      <c r="L146" s="12"/>
      <c r="M146">
        <v>10.4</v>
      </c>
      <c r="N146">
        <v>10.1</v>
      </c>
      <c r="O146">
        <v>94</v>
      </c>
      <c r="P146">
        <v>93.2</v>
      </c>
      <c r="Q146">
        <f t="shared" si="64"/>
        <v>0.30000000000000071</v>
      </c>
      <c r="R146" s="13">
        <f t="shared" si="73"/>
        <v>0.79999999999999716</v>
      </c>
      <c r="V146" s="12"/>
      <c r="W146">
        <v>10.4</v>
      </c>
      <c r="X146">
        <v>10.5</v>
      </c>
      <c r="Y146">
        <v>94</v>
      </c>
      <c r="Z146">
        <v>91.4</v>
      </c>
      <c r="AA146">
        <f t="shared" si="66"/>
        <v>9.9999999999999645E-2</v>
      </c>
      <c r="AB146" s="13">
        <f t="shared" si="74"/>
        <v>2.5999999999999943</v>
      </c>
      <c r="AG146" s="12"/>
      <c r="AH146">
        <v>10.4</v>
      </c>
      <c r="AJ146">
        <v>94</v>
      </c>
      <c r="AM146" s="13"/>
      <c r="AR146" s="12"/>
      <c r="AS146">
        <v>10.4</v>
      </c>
      <c r="AT146">
        <v>10.6</v>
      </c>
      <c r="AU146">
        <v>94</v>
      </c>
      <c r="AV146">
        <v>80.900000000000006</v>
      </c>
      <c r="AW146">
        <f t="shared" si="70"/>
        <v>0.19999999999999929</v>
      </c>
      <c r="AX146" s="13">
        <f t="shared" si="76"/>
        <v>13.099999999999994</v>
      </c>
    </row>
    <row r="147" spans="2:50" x14ac:dyDescent="0.25">
      <c r="B147" s="12"/>
      <c r="C147">
        <v>9.6</v>
      </c>
      <c r="D147">
        <v>10.199999999999999</v>
      </c>
      <c r="E147">
        <v>62</v>
      </c>
      <c r="F147">
        <v>63.3</v>
      </c>
      <c r="G147">
        <f t="shared" si="62"/>
        <v>0.59999999999999964</v>
      </c>
      <c r="H147" s="13">
        <f t="shared" si="72"/>
        <v>1.2999999999999972</v>
      </c>
      <c r="L147" s="12"/>
      <c r="M147">
        <v>9.6</v>
      </c>
      <c r="N147">
        <v>9.8000000000000007</v>
      </c>
      <c r="O147">
        <v>62</v>
      </c>
      <c r="P147">
        <v>48</v>
      </c>
      <c r="Q147">
        <f t="shared" si="64"/>
        <v>0.20000000000000107</v>
      </c>
      <c r="R147" s="13">
        <f t="shared" si="73"/>
        <v>14</v>
      </c>
      <c r="V147" s="12"/>
      <c r="W147">
        <v>9.6</v>
      </c>
      <c r="X147">
        <v>9.6999999999999993</v>
      </c>
      <c r="Y147">
        <v>62</v>
      </c>
      <c r="Z147">
        <v>83.8</v>
      </c>
      <c r="AA147">
        <f t="shared" si="66"/>
        <v>9.9999999999999645E-2</v>
      </c>
      <c r="AB147" s="13">
        <f t="shared" si="74"/>
        <v>21.799999999999997</v>
      </c>
      <c r="AG147" s="12"/>
      <c r="AH147">
        <v>9.6</v>
      </c>
      <c r="AJ147">
        <v>62</v>
      </c>
      <c r="AM147" s="13"/>
      <c r="AR147" s="12"/>
      <c r="AS147">
        <v>9.6</v>
      </c>
      <c r="AT147">
        <v>9.5</v>
      </c>
      <c r="AU147">
        <v>62</v>
      </c>
      <c r="AV147">
        <v>65</v>
      </c>
      <c r="AW147">
        <f t="shared" si="70"/>
        <v>9.9999999999999645E-2</v>
      </c>
      <c r="AX147" s="13">
        <f t="shared" si="76"/>
        <v>3</v>
      </c>
    </row>
    <row r="148" spans="2:50" x14ac:dyDescent="0.25">
      <c r="B148" s="12"/>
      <c r="C148">
        <v>22.4</v>
      </c>
      <c r="D148">
        <v>10.4</v>
      </c>
      <c r="E148">
        <v>60</v>
      </c>
      <c r="F148">
        <v>76.8</v>
      </c>
      <c r="G148">
        <f t="shared" si="62"/>
        <v>11.999999999999998</v>
      </c>
      <c r="H148" s="13">
        <f t="shared" si="72"/>
        <v>16.799999999999997</v>
      </c>
      <c r="L148" s="12"/>
      <c r="M148">
        <v>22.4</v>
      </c>
      <c r="N148">
        <v>23.4</v>
      </c>
      <c r="O148">
        <v>60</v>
      </c>
      <c r="P148">
        <v>49.6</v>
      </c>
      <c r="Q148">
        <f t="shared" si="64"/>
        <v>1</v>
      </c>
      <c r="R148" s="13">
        <f t="shared" si="73"/>
        <v>10.399999999999999</v>
      </c>
      <c r="V148" s="12"/>
      <c r="W148">
        <v>22.4</v>
      </c>
      <c r="X148">
        <v>8.5</v>
      </c>
      <c r="Y148">
        <v>60</v>
      </c>
      <c r="Z148">
        <v>92</v>
      </c>
      <c r="AA148">
        <f t="shared" si="66"/>
        <v>13.899999999999999</v>
      </c>
      <c r="AB148" s="13">
        <f t="shared" si="74"/>
        <v>32</v>
      </c>
      <c r="AG148" s="12"/>
      <c r="AH148">
        <v>22.4</v>
      </c>
      <c r="AJ148">
        <v>60</v>
      </c>
      <c r="AM148" s="13"/>
      <c r="AR148" s="12"/>
      <c r="AS148">
        <v>22.4</v>
      </c>
      <c r="AT148">
        <v>14</v>
      </c>
      <c r="AU148">
        <v>60</v>
      </c>
      <c r="AV148">
        <v>99.1</v>
      </c>
      <c r="AW148">
        <f t="shared" si="70"/>
        <v>8.3999999999999986</v>
      </c>
      <c r="AX148" s="13">
        <f t="shared" si="76"/>
        <v>39.099999999999994</v>
      </c>
    </row>
    <row r="149" spans="2:50" x14ac:dyDescent="0.25">
      <c r="B149" s="3" t="s">
        <v>101</v>
      </c>
      <c r="C149" s="4">
        <v>11.2</v>
      </c>
      <c r="D149" s="4">
        <v>12</v>
      </c>
      <c r="E149" s="4">
        <v>85</v>
      </c>
      <c r="F149" s="4">
        <v>70</v>
      </c>
      <c r="G149" s="4">
        <f t="shared" si="62"/>
        <v>0.80000000000000071</v>
      </c>
      <c r="H149" s="5">
        <f t="shared" si="72"/>
        <v>15</v>
      </c>
      <c r="L149" s="3" t="s">
        <v>101</v>
      </c>
      <c r="M149" s="4">
        <v>11.2</v>
      </c>
      <c r="N149" s="4">
        <v>11</v>
      </c>
      <c r="O149" s="4">
        <v>85</v>
      </c>
      <c r="P149" s="4">
        <v>66.8</v>
      </c>
      <c r="Q149" s="4">
        <f t="shared" si="64"/>
        <v>0.19999999999999929</v>
      </c>
      <c r="R149" s="5">
        <f t="shared" si="73"/>
        <v>18.200000000000003</v>
      </c>
      <c r="V149" s="3" t="s">
        <v>101</v>
      </c>
      <c r="W149" s="4">
        <v>11.2</v>
      </c>
      <c r="X149" s="4">
        <v>11.7</v>
      </c>
      <c r="Y149" s="4">
        <v>85</v>
      </c>
      <c r="Z149" s="4">
        <v>83.2</v>
      </c>
      <c r="AA149" s="4">
        <f t="shared" si="66"/>
        <v>0.5</v>
      </c>
      <c r="AB149" s="5">
        <f t="shared" si="74"/>
        <v>1.7999999999999972</v>
      </c>
      <c r="AG149" s="3" t="s">
        <v>101</v>
      </c>
      <c r="AH149" s="4">
        <v>11.2</v>
      </c>
      <c r="AI149" s="4"/>
      <c r="AJ149" s="4">
        <v>85</v>
      </c>
      <c r="AK149" s="4"/>
      <c r="AL149" s="4"/>
      <c r="AM149" s="5"/>
      <c r="AR149" s="3" t="s">
        <v>101</v>
      </c>
      <c r="AS149" s="4">
        <v>11.2</v>
      </c>
      <c r="AT149" s="4">
        <v>11.8</v>
      </c>
      <c r="AU149" s="4">
        <v>85</v>
      </c>
      <c r="AV149" s="4">
        <v>74.400000000000006</v>
      </c>
      <c r="AW149" s="4">
        <f t="shared" si="70"/>
        <v>0.60000000000000142</v>
      </c>
      <c r="AX149" s="5">
        <f t="shared" si="76"/>
        <v>10.599999999999994</v>
      </c>
    </row>
    <row r="150" spans="2:50" x14ac:dyDescent="0.25">
      <c r="B150" s="12"/>
      <c r="C150">
        <v>11.6</v>
      </c>
      <c r="D150">
        <v>11.5</v>
      </c>
      <c r="E150">
        <v>97</v>
      </c>
      <c r="F150">
        <v>81.3</v>
      </c>
      <c r="G150">
        <f t="shared" si="62"/>
        <v>9.9999999999999645E-2</v>
      </c>
      <c r="H150" s="13">
        <f t="shared" si="72"/>
        <v>15.700000000000003</v>
      </c>
      <c r="L150" s="12"/>
      <c r="M150">
        <v>11.6</v>
      </c>
      <c r="N150">
        <v>10.6</v>
      </c>
      <c r="O150">
        <v>97</v>
      </c>
      <c r="P150">
        <v>84.8</v>
      </c>
      <c r="Q150">
        <f t="shared" si="64"/>
        <v>1</v>
      </c>
      <c r="R150" s="13">
        <f t="shared" si="73"/>
        <v>12.200000000000003</v>
      </c>
      <c r="V150" s="12"/>
      <c r="W150">
        <v>11.6</v>
      </c>
      <c r="X150">
        <v>11.7</v>
      </c>
      <c r="Y150">
        <v>97</v>
      </c>
      <c r="Z150">
        <v>88.5</v>
      </c>
      <c r="AA150">
        <f t="shared" si="66"/>
        <v>9.9999999999999645E-2</v>
      </c>
      <c r="AB150" s="13">
        <f t="shared" si="74"/>
        <v>8.5</v>
      </c>
      <c r="AG150" s="12"/>
      <c r="AH150">
        <v>11.6</v>
      </c>
      <c r="AJ150">
        <v>97</v>
      </c>
      <c r="AM150" s="13"/>
      <c r="AR150" s="12"/>
      <c r="AS150">
        <v>11.6</v>
      </c>
      <c r="AT150">
        <v>11.8</v>
      </c>
      <c r="AU150">
        <v>97</v>
      </c>
      <c r="AV150">
        <v>68.2</v>
      </c>
      <c r="AW150">
        <f t="shared" si="70"/>
        <v>0.20000000000000107</v>
      </c>
      <c r="AX150" s="13">
        <f t="shared" si="76"/>
        <v>28.799999999999997</v>
      </c>
    </row>
    <row r="151" spans="2:50" x14ac:dyDescent="0.25">
      <c r="B151" s="12"/>
      <c r="C151">
        <v>8</v>
      </c>
      <c r="D151">
        <v>10</v>
      </c>
      <c r="E151">
        <v>76</v>
      </c>
      <c r="F151">
        <v>79.599999999999994</v>
      </c>
      <c r="G151">
        <f t="shared" si="62"/>
        <v>2</v>
      </c>
      <c r="H151" s="13">
        <f t="shared" si="72"/>
        <v>3.5999999999999943</v>
      </c>
      <c r="L151" s="12"/>
      <c r="M151">
        <v>8</v>
      </c>
      <c r="N151">
        <v>9.6</v>
      </c>
      <c r="O151">
        <v>76</v>
      </c>
      <c r="P151">
        <v>96.4</v>
      </c>
      <c r="Q151">
        <f t="shared" si="64"/>
        <v>1.5999999999999996</v>
      </c>
      <c r="R151" s="13">
        <f t="shared" si="73"/>
        <v>20.400000000000006</v>
      </c>
      <c r="V151" s="12"/>
      <c r="W151">
        <v>8</v>
      </c>
      <c r="X151">
        <v>9</v>
      </c>
      <c r="Y151">
        <v>76</v>
      </c>
      <c r="Z151">
        <v>90.2</v>
      </c>
      <c r="AA151">
        <f t="shared" si="66"/>
        <v>1</v>
      </c>
      <c r="AB151" s="13">
        <f t="shared" si="74"/>
        <v>14.200000000000003</v>
      </c>
      <c r="AG151" s="12"/>
      <c r="AH151">
        <v>8</v>
      </c>
      <c r="AJ151">
        <v>76</v>
      </c>
      <c r="AM151" s="13"/>
      <c r="AR151" s="12"/>
      <c r="AS151">
        <v>8</v>
      </c>
      <c r="AT151">
        <v>8.9</v>
      </c>
      <c r="AU151">
        <v>76</v>
      </c>
      <c r="AV151">
        <v>64</v>
      </c>
      <c r="AW151">
        <f t="shared" si="70"/>
        <v>0.90000000000000036</v>
      </c>
      <c r="AX151" s="13">
        <f t="shared" si="76"/>
        <v>12</v>
      </c>
    </row>
    <row r="152" spans="2:50" x14ac:dyDescent="0.25">
      <c r="B152" s="6"/>
      <c r="C152" s="7">
        <v>17.2</v>
      </c>
      <c r="D152" s="7">
        <v>17</v>
      </c>
      <c r="E152" s="7">
        <v>62</v>
      </c>
      <c r="F152" s="7">
        <v>79.2</v>
      </c>
      <c r="G152" s="7">
        <f t="shared" si="62"/>
        <v>0.19999999999999929</v>
      </c>
      <c r="H152" s="8">
        <f t="shared" si="72"/>
        <v>17.200000000000003</v>
      </c>
      <c r="L152" s="6"/>
      <c r="M152" s="7">
        <v>17.2</v>
      </c>
      <c r="N152" s="7">
        <v>17.5</v>
      </c>
      <c r="O152" s="7">
        <v>62</v>
      </c>
      <c r="P152" s="7">
        <v>98</v>
      </c>
      <c r="Q152" s="7">
        <f t="shared" si="64"/>
        <v>0.30000000000000071</v>
      </c>
      <c r="R152" s="8">
        <f t="shared" si="73"/>
        <v>36</v>
      </c>
      <c r="V152" s="6"/>
      <c r="W152" s="7">
        <v>17.2</v>
      </c>
      <c r="X152" s="7">
        <v>15.5</v>
      </c>
      <c r="Y152" s="7">
        <v>62</v>
      </c>
      <c r="Z152" s="7">
        <v>95.8</v>
      </c>
      <c r="AA152" s="7">
        <f t="shared" si="66"/>
        <v>1.6999999999999993</v>
      </c>
      <c r="AB152" s="8">
        <f t="shared" si="74"/>
        <v>33.799999999999997</v>
      </c>
      <c r="AG152" s="6"/>
      <c r="AH152" s="7">
        <v>17.2</v>
      </c>
      <c r="AI152" s="7"/>
      <c r="AJ152" s="7">
        <v>62</v>
      </c>
      <c r="AK152" s="7"/>
      <c r="AL152" s="7"/>
      <c r="AM152" s="8"/>
      <c r="AR152" s="6"/>
      <c r="AS152" s="7">
        <v>17.2</v>
      </c>
      <c r="AT152" s="7">
        <v>17.7</v>
      </c>
      <c r="AU152" s="7">
        <v>62</v>
      </c>
      <c r="AV152" s="7">
        <v>96.3</v>
      </c>
      <c r="AW152" s="7">
        <f t="shared" si="70"/>
        <v>0.5</v>
      </c>
      <c r="AX152" s="8">
        <f t="shared" si="76"/>
        <v>34.299999999999997</v>
      </c>
    </row>
    <row r="153" spans="2:50" x14ac:dyDescent="0.25">
      <c r="B153" s="3" t="s">
        <v>102</v>
      </c>
      <c r="C153" s="4">
        <v>11.6</v>
      </c>
      <c r="D153" s="4">
        <v>11.1</v>
      </c>
      <c r="E153" s="4">
        <v>92</v>
      </c>
      <c r="F153" s="4">
        <v>74.3</v>
      </c>
      <c r="G153" s="4">
        <f t="shared" si="62"/>
        <v>0.5</v>
      </c>
      <c r="H153" s="5">
        <f t="shared" si="72"/>
        <v>17.700000000000003</v>
      </c>
      <c r="L153" s="3" t="s">
        <v>102</v>
      </c>
      <c r="M153" s="4">
        <v>11.6</v>
      </c>
      <c r="N153" s="4">
        <v>10.4</v>
      </c>
      <c r="O153" s="4">
        <v>92</v>
      </c>
      <c r="P153" s="4">
        <v>96.8</v>
      </c>
      <c r="Q153" s="4">
        <f t="shared" si="64"/>
        <v>1.1999999999999993</v>
      </c>
      <c r="R153" s="5">
        <f t="shared" si="73"/>
        <v>4.7999999999999972</v>
      </c>
      <c r="V153" s="3" t="s">
        <v>102</v>
      </c>
      <c r="W153" s="4">
        <v>11.6</v>
      </c>
      <c r="X153" s="4">
        <v>10.8</v>
      </c>
      <c r="Y153" s="4">
        <v>92</v>
      </c>
      <c r="Z153" s="4">
        <v>84.7</v>
      </c>
      <c r="AA153" s="4">
        <f t="shared" si="66"/>
        <v>0.79999999999999893</v>
      </c>
      <c r="AB153" s="5">
        <f t="shared" si="74"/>
        <v>7.2999999999999972</v>
      </c>
      <c r="AG153" s="3" t="s">
        <v>102</v>
      </c>
      <c r="AH153" s="4">
        <v>11.6</v>
      </c>
      <c r="AI153" s="4"/>
      <c r="AJ153" s="4">
        <v>92</v>
      </c>
      <c r="AK153" s="4"/>
      <c r="AL153" s="4"/>
      <c r="AM153" s="5"/>
      <c r="AR153" s="3" t="s">
        <v>102</v>
      </c>
      <c r="AS153" s="4">
        <v>11.6</v>
      </c>
      <c r="AT153" s="4">
        <v>11.2</v>
      </c>
      <c r="AU153" s="4">
        <v>92</v>
      </c>
      <c r="AV153" s="4">
        <v>57.2</v>
      </c>
      <c r="AW153" s="4">
        <f t="shared" si="70"/>
        <v>0.40000000000000036</v>
      </c>
      <c r="AX153" s="5">
        <f t="shared" si="76"/>
        <v>34.799999999999997</v>
      </c>
    </row>
    <row r="154" spans="2:50" x14ac:dyDescent="0.25">
      <c r="B154" s="12"/>
      <c r="C154">
        <v>11.6</v>
      </c>
      <c r="D154">
        <v>11.1</v>
      </c>
      <c r="E154">
        <v>94</v>
      </c>
      <c r="F154">
        <v>58.8</v>
      </c>
      <c r="G154">
        <f t="shared" si="62"/>
        <v>0.5</v>
      </c>
      <c r="H154" s="13">
        <f t="shared" si="72"/>
        <v>35.200000000000003</v>
      </c>
      <c r="L154" s="12"/>
      <c r="M154">
        <v>11.6</v>
      </c>
      <c r="N154">
        <v>11</v>
      </c>
      <c r="O154">
        <v>94</v>
      </c>
      <c r="P154">
        <v>59.2</v>
      </c>
      <c r="Q154">
        <f t="shared" si="64"/>
        <v>0.59999999999999964</v>
      </c>
      <c r="R154" s="13">
        <f t="shared" si="73"/>
        <v>34.799999999999997</v>
      </c>
      <c r="V154" s="12"/>
      <c r="W154">
        <v>11.6</v>
      </c>
      <c r="X154">
        <v>11.4</v>
      </c>
      <c r="Y154">
        <v>94</v>
      </c>
      <c r="Z154">
        <v>85.8</v>
      </c>
      <c r="AA154">
        <f t="shared" si="66"/>
        <v>0.19999999999999929</v>
      </c>
      <c r="AB154" s="13">
        <f t="shared" si="74"/>
        <v>8.2000000000000028</v>
      </c>
      <c r="AG154" s="12"/>
      <c r="AH154">
        <v>11.6</v>
      </c>
      <c r="AJ154">
        <v>94</v>
      </c>
      <c r="AM154" s="13"/>
      <c r="AR154" s="12"/>
      <c r="AS154">
        <v>11.6</v>
      </c>
      <c r="AT154">
        <v>11.8</v>
      </c>
      <c r="AU154">
        <v>94</v>
      </c>
      <c r="AV154">
        <v>67.900000000000006</v>
      </c>
      <c r="AW154">
        <f t="shared" si="70"/>
        <v>0.20000000000000107</v>
      </c>
      <c r="AX154" s="13">
        <f t="shared" si="76"/>
        <v>26.099999999999994</v>
      </c>
    </row>
    <row r="155" spans="2:50" x14ac:dyDescent="0.25">
      <c r="B155" s="12"/>
      <c r="C155">
        <v>8</v>
      </c>
      <c r="D155">
        <v>8.8000000000000007</v>
      </c>
      <c r="E155">
        <v>77</v>
      </c>
      <c r="F155">
        <v>66.8</v>
      </c>
      <c r="G155">
        <f t="shared" si="62"/>
        <v>0.80000000000000071</v>
      </c>
      <c r="H155" s="13">
        <f t="shared" si="72"/>
        <v>10.200000000000003</v>
      </c>
      <c r="L155" s="12"/>
      <c r="M155">
        <v>8</v>
      </c>
      <c r="N155">
        <v>14.4</v>
      </c>
      <c r="O155">
        <v>77</v>
      </c>
      <c r="P155">
        <v>114.8</v>
      </c>
      <c r="Q155">
        <f t="shared" si="64"/>
        <v>6.4</v>
      </c>
      <c r="R155" s="13">
        <f t="shared" si="73"/>
        <v>37.799999999999997</v>
      </c>
      <c r="V155" s="12"/>
      <c r="W155">
        <v>8</v>
      </c>
      <c r="X155">
        <v>7</v>
      </c>
      <c r="Y155">
        <v>77</v>
      </c>
      <c r="Z155">
        <v>88.2</v>
      </c>
      <c r="AA155">
        <f t="shared" si="66"/>
        <v>1</v>
      </c>
      <c r="AB155" s="13">
        <f t="shared" si="74"/>
        <v>11.200000000000003</v>
      </c>
      <c r="AG155" s="12"/>
      <c r="AH155">
        <v>8</v>
      </c>
      <c r="AJ155">
        <v>77</v>
      </c>
      <c r="AM155" s="13"/>
      <c r="AR155" s="12"/>
      <c r="AS155">
        <v>8</v>
      </c>
      <c r="AT155">
        <v>13.1</v>
      </c>
      <c r="AU155">
        <v>77</v>
      </c>
      <c r="AV155">
        <v>86.2</v>
      </c>
      <c r="AW155">
        <f t="shared" si="70"/>
        <v>5.0999999999999996</v>
      </c>
      <c r="AX155" s="13">
        <f t="shared" si="76"/>
        <v>9.2000000000000028</v>
      </c>
    </row>
    <row r="156" spans="2:50" x14ac:dyDescent="0.25">
      <c r="B156" s="6"/>
      <c r="C156" s="7">
        <v>16.399999999999999</v>
      </c>
      <c r="D156" s="7">
        <v>14.9</v>
      </c>
      <c r="E156" s="7">
        <v>70</v>
      </c>
      <c r="F156" s="7">
        <v>74.3</v>
      </c>
      <c r="G156">
        <f t="shared" si="62"/>
        <v>1.4999999999999982</v>
      </c>
      <c r="H156" s="13">
        <f t="shared" si="72"/>
        <v>4.2999999999999972</v>
      </c>
      <c r="L156" s="6"/>
      <c r="M156" s="7">
        <v>16.399999999999999</v>
      </c>
      <c r="N156" s="7">
        <v>17.5</v>
      </c>
      <c r="O156" s="7">
        <v>70</v>
      </c>
      <c r="P156" s="7">
        <v>70</v>
      </c>
      <c r="Q156" s="7">
        <f t="shared" si="64"/>
        <v>1.1000000000000014</v>
      </c>
      <c r="R156" s="8">
        <f t="shared" si="73"/>
        <v>0</v>
      </c>
      <c r="V156" s="6"/>
      <c r="W156" s="7">
        <v>16.399999999999999</v>
      </c>
      <c r="X156" s="7">
        <v>16.100000000000001</v>
      </c>
      <c r="Y156" s="7">
        <v>70</v>
      </c>
      <c r="Z156" s="7">
        <v>81.7</v>
      </c>
      <c r="AA156">
        <f t="shared" si="66"/>
        <v>0.29999999999999716</v>
      </c>
      <c r="AB156" s="13">
        <f t="shared" si="74"/>
        <v>11.700000000000003</v>
      </c>
      <c r="AG156" s="6"/>
      <c r="AH156" s="7">
        <v>16.399999999999999</v>
      </c>
      <c r="AI156" s="7"/>
      <c r="AJ156" s="7">
        <v>70</v>
      </c>
      <c r="AK156" s="7"/>
      <c r="AL156" s="7"/>
      <c r="AM156" s="8"/>
      <c r="AR156" s="6"/>
      <c r="AS156" s="7">
        <v>16.399999999999999</v>
      </c>
      <c r="AT156" s="7">
        <v>17.600000000000001</v>
      </c>
      <c r="AU156" s="7">
        <v>70</v>
      </c>
      <c r="AV156" s="7">
        <v>96.3</v>
      </c>
      <c r="AW156">
        <f t="shared" si="70"/>
        <v>1.2000000000000028</v>
      </c>
      <c r="AX156" s="13">
        <f t="shared" si="76"/>
        <v>26.299999999999997</v>
      </c>
    </row>
    <row r="157" spans="2:50" x14ac:dyDescent="0.25">
      <c r="B157" s="3" t="s">
        <v>103</v>
      </c>
      <c r="C157" s="4">
        <v>12</v>
      </c>
      <c r="D157" s="4">
        <v>11.1</v>
      </c>
      <c r="E157" s="4">
        <v>88</v>
      </c>
      <c r="F157" s="4">
        <v>70.3</v>
      </c>
      <c r="G157" s="4">
        <f t="shared" si="62"/>
        <v>0.90000000000000036</v>
      </c>
      <c r="H157" s="5">
        <f t="shared" si="72"/>
        <v>17.700000000000003</v>
      </c>
      <c r="L157" s="3" t="s">
        <v>103</v>
      </c>
      <c r="M157" s="4">
        <v>12</v>
      </c>
      <c r="N157" s="4">
        <v>10.6</v>
      </c>
      <c r="O157" s="4">
        <v>88</v>
      </c>
      <c r="P157" s="4">
        <v>62.8</v>
      </c>
      <c r="Q157" s="4">
        <f t="shared" si="64"/>
        <v>1.4000000000000004</v>
      </c>
      <c r="R157" s="5">
        <f t="shared" si="73"/>
        <v>25.200000000000003</v>
      </c>
      <c r="V157" s="3" t="s">
        <v>103</v>
      </c>
      <c r="W157" s="4">
        <v>12</v>
      </c>
      <c r="X157" s="4">
        <v>11.7</v>
      </c>
      <c r="Y157" s="4">
        <v>88</v>
      </c>
      <c r="Z157" s="4">
        <v>91.1</v>
      </c>
      <c r="AA157" s="4">
        <f t="shared" si="66"/>
        <v>0.30000000000000071</v>
      </c>
      <c r="AB157" s="5">
        <f t="shared" si="74"/>
        <v>3.0999999999999943</v>
      </c>
      <c r="AG157" s="3" t="s">
        <v>103</v>
      </c>
      <c r="AH157" s="4">
        <v>12</v>
      </c>
      <c r="AI157" s="4"/>
      <c r="AJ157" s="4">
        <v>88</v>
      </c>
      <c r="AK157" s="4"/>
      <c r="AL157" s="4"/>
      <c r="AM157" s="5"/>
      <c r="AR157" s="3" t="s">
        <v>103</v>
      </c>
      <c r="AS157" s="4">
        <v>12</v>
      </c>
      <c r="AT157" s="4">
        <v>11.8</v>
      </c>
      <c r="AU157" s="4">
        <v>88</v>
      </c>
      <c r="AV157" s="4">
        <v>88.4</v>
      </c>
      <c r="AW157" s="4">
        <f t="shared" si="70"/>
        <v>0.19999999999999929</v>
      </c>
      <c r="AX157" s="5">
        <f t="shared" si="76"/>
        <v>0.40000000000000568</v>
      </c>
    </row>
    <row r="158" spans="2:50" x14ac:dyDescent="0.25">
      <c r="B158" s="12"/>
      <c r="C158">
        <v>11.6</v>
      </c>
      <c r="D158">
        <v>11.1</v>
      </c>
      <c r="E158">
        <v>95</v>
      </c>
      <c r="F158">
        <v>73.900000000000006</v>
      </c>
      <c r="G158">
        <f t="shared" si="62"/>
        <v>0.5</v>
      </c>
      <c r="H158" s="13">
        <f t="shared" si="72"/>
        <v>21.099999999999994</v>
      </c>
      <c r="L158" s="12"/>
      <c r="M158">
        <v>11.6</v>
      </c>
      <c r="N158">
        <v>10.4</v>
      </c>
      <c r="O158">
        <v>95</v>
      </c>
      <c r="P158">
        <v>61.2</v>
      </c>
      <c r="Q158">
        <f t="shared" si="64"/>
        <v>1.1999999999999993</v>
      </c>
      <c r="R158" s="13">
        <f t="shared" si="73"/>
        <v>33.799999999999997</v>
      </c>
      <c r="V158" s="12"/>
      <c r="W158">
        <v>11.6</v>
      </c>
      <c r="X158">
        <v>10.8</v>
      </c>
      <c r="Y158">
        <v>95</v>
      </c>
      <c r="Z158">
        <v>93.8</v>
      </c>
      <c r="AA158">
        <f t="shared" si="66"/>
        <v>0.79999999999999893</v>
      </c>
      <c r="AB158" s="13">
        <f t="shared" si="74"/>
        <v>1.2000000000000028</v>
      </c>
      <c r="AG158" s="12"/>
      <c r="AH158">
        <v>11.6</v>
      </c>
      <c r="AJ158">
        <v>95</v>
      </c>
      <c r="AM158" s="13"/>
      <c r="AR158" s="12"/>
      <c r="AS158">
        <v>11.6</v>
      </c>
      <c r="AT158">
        <v>10.9</v>
      </c>
      <c r="AU158">
        <v>95</v>
      </c>
      <c r="AV158">
        <v>61.2</v>
      </c>
      <c r="AW158">
        <f t="shared" si="70"/>
        <v>0.69999999999999929</v>
      </c>
      <c r="AX158" s="13">
        <f t="shared" si="76"/>
        <v>33.799999999999997</v>
      </c>
    </row>
    <row r="159" spans="2:50" x14ac:dyDescent="0.25">
      <c r="B159" s="12"/>
      <c r="C159">
        <v>6.4</v>
      </c>
      <c r="D159">
        <v>7.1</v>
      </c>
      <c r="E159">
        <v>84</v>
      </c>
      <c r="F159">
        <v>74.2</v>
      </c>
      <c r="G159">
        <f t="shared" si="62"/>
        <v>0.69999999999999929</v>
      </c>
      <c r="H159" s="13">
        <f t="shared" si="72"/>
        <v>9.7999999999999972</v>
      </c>
      <c r="L159" s="12"/>
      <c r="M159">
        <v>6.4</v>
      </c>
      <c r="N159">
        <v>8.6999999999999993</v>
      </c>
      <c r="O159">
        <v>84</v>
      </c>
      <c r="P159">
        <v>95.6</v>
      </c>
      <c r="Q159">
        <f t="shared" si="64"/>
        <v>2.2999999999999989</v>
      </c>
      <c r="R159" s="13">
        <f t="shared" si="73"/>
        <v>11.599999999999994</v>
      </c>
      <c r="V159" s="12"/>
      <c r="W159">
        <v>6.4</v>
      </c>
      <c r="X159">
        <v>7</v>
      </c>
      <c r="Y159">
        <v>84</v>
      </c>
      <c r="Z159">
        <v>86.7</v>
      </c>
      <c r="AA159">
        <f t="shared" si="66"/>
        <v>0.59999999999999964</v>
      </c>
      <c r="AB159" s="13">
        <f t="shared" si="74"/>
        <v>2.7000000000000028</v>
      </c>
      <c r="AG159" s="12"/>
      <c r="AH159">
        <v>6.4</v>
      </c>
      <c r="AJ159">
        <v>84</v>
      </c>
      <c r="AM159" s="13"/>
      <c r="AR159" s="12"/>
      <c r="AS159">
        <v>6.4</v>
      </c>
      <c r="AT159">
        <v>7.7</v>
      </c>
      <c r="AU159">
        <v>84</v>
      </c>
      <c r="AV159">
        <v>82.1</v>
      </c>
      <c r="AW159">
        <f t="shared" si="70"/>
        <v>1.2999999999999998</v>
      </c>
      <c r="AX159" s="13">
        <f t="shared" si="76"/>
        <v>1.9000000000000057</v>
      </c>
    </row>
    <row r="160" spans="2:50" x14ac:dyDescent="0.25">
      <c r="B160" s="6"/>
      <c r="C160" s="7">
        <v>13.6</v>
      </c>
      <c r="D160" s="7">
        <v>11.3</v>
      </c>
      <c r="E160" s="7">
        <v>67</v>
      </c>
      <c r="F160" s="7">
        <v>73.599999999999994</v>
      </c>
      <c r="G160" s="7">
        <f t="shared" si="62"/>
        <v>2.2999999999999989</v>
      </c>
      <c r="H160" s="8">
        <f t="shared" si="72"/>
        <v>6.5999999999999943</v>
      </c>
      <c r="L160" s="6"/>
      <c r="M160" s="7">
        <v>13.6</v>
      </c>
      <c r="N160" s="7">
        <v>13.5</v>
      </c>
      <c r="O160" s="7">
        <v>67</v>
      </c>
      <c r="P160" s="7">
        <v>60.8</v>
      </c>
      <c r="Q160">
        <f t="shared" si="64"/>
        <v>9.9999999999999645E-2</v>
      </c>
      <c r="R160" s="13">
        <f t="shared" si="73"/>
        <v>6.2000000000000028</v>
      </c>
      <c r="V160" s="6"/>
      <c r="W160" s="7">
        <v>13.6</v>
      </c>
      <c r="X160" s="7">
        <v>11.4</v>
      </c>
      <c r="Y160" s="7">
        <v>67</v>
      </c>
      <c r="Z160" s="7">
        <v>87</v>
      </c>
      <c r="AA160" s="7">
        <f t="shared" si="66"/>
        <v>2.1999999999999993</v>
      </c>
      <c r="AB160" s="8">
        <f t="shared" si="74"/>
        <v>20</v>
      </c>
      <c r="AG160" s="6"/>
      <c r="AH160" s="7">
        <v>13.6</v>
      </c>
      <c r="AI160" s="7"/>
      <c r="AJ160" s="7">
        <v>67</v>
      </c>
      <c r="AK160" s="7"/>
      <c r="AL160" s="7"/>
      <c r="AM160" s="8"/>
      <c r="AR160" s="6"/>
      <c r="AS160" s="7">
        <v>13.6</v>
      </c>
      <c r="AT160" s="7">
        <v>13</v>
      </c>
      <c r="AU160" s="7">
        <v>67</v>
      </c>
      <c r="AV160" s="7">
        <v>86.3</v>
      </c>
      <c r="AW160" s="7">
        <f t="shared" si="70"/>
        <v>0.59999999999999964</v>
      </c>
      <c r="AX160" s="8">
        <f t="shared" si="76"/>
        <v>19.299999999999997</v>
      </c>
    </row>
    <row r="161" spans="2:50" x14ac:dyDescent="0.25">
      <c r="B161" s="3" t="s">
        <v>104</v>
      </c>
      <c r="C161" s="4">
        <v>14.4</v>
      </c>
      <c r="D161" s="4">
        <v>13.2</v>
      </c>
      <c r="E161" s="4">
        <v>95</v>
      </c>
      <c r="F161" s="4">
        <v>79.2</v>
      </c>
      <c r="G161" s="4">
        <f t="shared" si="62"/>
        <v>1.2000000000000011</v>
      </c>
      <c r="H161" s="5">
        <f t="shared" si="72"/>
        <v>15.799999999999997</v>
      </c>
      <c r="L161" s="3" t="s">
        <v>104</v>
      </c>
      <c r="M161" s="4">
        <v>14.4</v>
      </c>
      <c r="N161" s="4">
        <v>13.3</v>
      </c>
      <c r="O161" s="4">
        <v>95</v>
      </c>
      <c r="P161" s="4">
        <v>60.8</v>
      </c>
      <c r="Q161" s="4">
        <f t="shared" si="64"/>
        <v>1.0999999999999996</v>
      </c>
      <c r="R161" s="5">
        <f t="shared" si="73"/>
        <v>34.200000000000003</v>
      </c>
      <c r="V161" s="3" t="s">
        <v>104</v>
      </c>
      <c r="W161" s="4">
        <v>14.4</v>
      </c>
      <c r="X161" s="4">
        <v>12.9</v>
      </c>
      <c r="Y161" s="4">
        <v>95</v>
      </c>
      <c r="Z161" s="4">
        <v>91.7</v>
      </c>
      <c r="AA161" s="4">
        <f t="shared" si="66"/>
        <v>1.5</v>
      </c>
      <c r="AB161" s="5">
        <f t="shared" si="74"/>
        <v>3.2999999999999972</v>
      </c>
      <c r="AG161" s="3" t="s">
        <v>104</v>
      </c>
      <c r="AH161" s="4">
        <v>14.4</v>
      </c>
      <c r="AI161" s="4"/>
      <c r="AJ161" s="4">
        <v>95</v>
      </c>
      <c r="AK161" s="4"/>
      <c r="AL161" s="4"/>
      <c r="AM161" s="5"/>
      <c r="AR161" s="3" t="s">
        <v>104</v>
      </c>
      <c r="AS161" s="4">
        <v>14.4</v>
      </c>
      <c r="AT161" s="4">
        <v>13.3</v>
      </c>
      <c r="AU161" s="4">
        <v>95</v>
      </c>
      <c r="AV161" s="4">
        <v>84.1</v>
      </c>
      <c r="AW161" s="4">
        <f t="shared" si="70"/>
        <v>1.0999999999999996</v>
      </c>
      <c r="AX161" s="5">
        <f t="shared" si="76"/>
        <v>10.900000000000006</v>
      </c>
    </row>
    <row r="162" spans="2:50" x14ac:dyDescent="0.25">
      <c r="B162" s="12"/>
      <c r="C162">
        <v>15.2</v>
      </c>
      <c r="D162">
        <v>14.4</v>
      </c>
      <c r="E162">
        <v>94</v>
      </c>
      <c r="F162">
        <v>78.5</v>
      </c>
      <c r="G162">
        <f t="shared" si="62"/>
        <v>0.79999999999999893</v>
      </c>
      <c r="H162" s="13">
        <f t="shared" si="72"/>
        <v>15.5</v>
      </c>
      <c r="L162" s="12"/>
      <c r="M162">
        <v>15.2</v>
      </c>
      <c r="N162">
        <v>14.6</v>
      </c>
      <c r="O162">
        <v>94</v>
      </c>
      <c r="P162">
        <v>94</v>
      </c>
      <c r="Q162">
        <f t="shared" si="64"/>
        <v>0.59999999999999964</v>
      </c>
      <c r="R162" s="13">
        <f t="shared" si="73"/>
        <v>0</v>
      </c>
      <c r="V162" s="12"/>
      <c r="W162">
        <v>15.2</v>
      </c>
      <c r="X162">
        <v>13.5</v>
      </c>
      <c r="Y162">
        <v>94</v>
      </c>
      <c r="Z162">
        <v>88.2</v>
      </c>
      <c r="AA162">
        <f t="shared" si="66"/>
        <v>1.6999999999999993</v>
      </c>
      <c r="AB162" s="13">
        <f t="shared" si="74"/>
        <v>5.7999999999999972</v>
      </c>
      <c r="AG162" s="12"/>
      <c r="AH162">
        <v>15.2</v>
      </c>
      <c r="AJ162">
        <v>94</v>
      </c>
      <c r="AM162" s="13"/>
      <c r="AR162" s="12"/>
      <c r="AS162">
        <v>15.2</v>
      </c>
      <c r="AT162">
        <v>15.2</v>
      </c>
      <c r="AU162">
        <v>94</v>
      </c>
      <c r="AV162">
        <v>83.2</v>
      </c>
      <c r="AW162">
        <f t="shared" si="70"/>
        <v>0</v>
      </c>
      <c r="AX162" s="13">
        <f t="shared" si="76"/>
        <v>10.799999999999997</v>
      </c>
    </row>
    <row r="163" spans="2:50" x14ac:dyDescent="0.25">
      <c r="B163" s="12"/>
      <c r="C163">
        <v>6.2</v>
      </c>
      <c r="D163">
        <v>8.8000000000000007</v>
      </c>
      <c r="E163">
        <v>71</v>
      </c>
      <c r="F163">
        <v>70.7</v>
      </c>
      <c r="G163">
        <f t="shared" si="62"/>
        <v>2.6000000000000005</v>
      </c>
      <c r="H163" s="13">
        <f t="shared" si="72"/>
        <v>0.29999999999999716</v>
      </c>
      <c r="L163" s="12"/>
      <c r="M163">
        <v>6.2</v>
      </c>
      <c r="N163">
        <v>9.8000000000000007</v>
      </c>
      <c r="O163">
        <v>71</v>
      </c>
      <c r="P163">
        <v>67.599999999999994</v>
      </c>
      <c r="Q163">
        <f t="shared" si="64"/>
        <v>3.6000000000000005</v>
      </c>
      <c r="R163" s="13">
        <f t="shared" si="73"/>
        <v>3.4000000000000057</v>
      </c>
      <c r="V163" s="12"/>
      <c r="W163">
        <v>6.2</v>
      </c>
      <c r="X163">
        <v>8.1999999999999993</v>
      </c>
      <c r="Y163">
        <v>71</v>
      </c>
      <c r="Z163">
        <v>90.2</v>
      </c>
      <c r="AA163">
        <f t="shared" si="66"/>
        <v>1.9999999999999991</v>
      </c>
      <c r="AB163" s="13">
        <f t="shared" si="74"/>
        <v>19.200000000000003</v>
      </c>
      <c r="AG163" s="12"/>
      <c r="AH163">
        <v>6.2</v>
      </c>
      <c r="AJ163">
        <v>71</v>
      </c>
      <c r="AM163" s="13"/>
      <c r="AR163" s="12"/>
      <c r="AS163">
        <v>6.2</v>
      </c>
      <c r="AT163">
        <v>9</v>
      </c>
      <c r="AU163">
        <v>71</v>
      </c>
      <c r="AV163">
        <v>58.7</v>
      </c>
      <c r="AW163">
        <f t="shared" si="70"/>
        <v>2.8</v>
      </c>
      <c r="AX163" s="13">
        <f t="shared" si="76"/>
        <v>12.299999999999997</v>
      </c>
    </row>
    <row r="164" spans="2:50" x14ac:dyDescent="0.25">
      <c r="B164" s="6"/>
      <c r="C164" s="7">
        <v>10.8</v>
      </c>
      <c r="D164" s="7">
        <v>9.9</v>
      </c>
      <c r="E164" s="7">
        <v>60</v>
      </c>
      <c r="F164" s="7">
        <v>74.599999999999994</v>
      </c>
      <c r="G164" s="7">
        <f t="shared" si="62"/>
        <v>0.90000000000000036</v>
      </c>
      <c r="H164" s="8">
        <f t="shared" si="72"/>
        <v>14.599999999999994</v>
      </c>
      <c r="L164" s="6"/>
      <c r="M164" s="7">
        <v>10.8</v>
      </c>
      <c r="N164" s="7">
        <v>10.1</v>
      </c>
      <c r="O164" s="7">
        <v>60</v>
      </c>
      <c r="P164" s="7">
        <v>80.8</v>
      </c>
      <c r="Q164" s="7">
        <f t="shared" si="64"/>
        <v>0.70000000000000107</v>
      </c>
      <c r="R164" s="8">
        <f t="shared" si="73"/>
        <v>20.799999999999997</v>
      </c>
      <c r="V164" s="6"/>
      <c r="W164" s="7">
        <v>10.8</v>
      </c>
      <c r="X164" s="7">
        <v>9.4</v>
      </c>
      <c r="Y164" s="7">
        <v>60</v>
      </c>
      <c r="Z164" s="7">
        <v>92.9</v>
      </c>
      <c r="AA164" s="7">
        <f t="shared" si="66"/>
        <v>1.4000000000000004</v>
      </c>
      <c r="AB164" s="8">
        <f t="shared" si="74"/>
        <v>32.900000000000006</v>
      </c>
      <c r="AG164" s="6"/>
      <c r="AH164" s="7">
        <v>10.8</v>
      </c>
      <c r="AI164" s="7"/>
      <c r="AJ164" s="7">
        <v>60</v>
      </c>
      <c r="AK164" s="7"/>
      <c r="AL164" s="7"/>
      <c r="AM164" s="8"/>
      <c r="AR164" s="6"/>
      <c r="AS164" s="7">
        <v>10.8</v>
      </c>
      <c r="AT164" s="7">
        <v>10</v>
      </c>
      <c r="AU164" s="7">
        <v>60</v>
      </c>
      <c r="AV164" s="7">
        <v>66.3</v>
      </c>
      <c r="AW164" s="7">
        <f t="shared" si="70"/>
        <v>0.80000000000000071</v>
      </c>
      <c r="AX164" s="8">
        <f t="shared" si="76"/>
        <v>6.2999999999999972</v>
      </c>
    </row>
    <row r="165" spans="2:50" x14ac:dyDescent="0.25">
      <c r="B165" s="3" t="s">
        <v>105</v>
      </c>
      <c r="C165" s="4">
        <v>14.8</v>
      </c>
      <c r="D165" s="4">
        <v>14.7</v>
      </c>
      <c r="E165" s="4">
        <v>88</v>
      </c>
      <c r="F165" s="4">
        <v>70.099999999999994</v>
      </c>
      <c r="G165" s="4">
        <f t="shared" si="62"/>
        <v>0.10000000000000142</v>
      </c>
      <c r="H165" s="5">
        <f t="shared" si="72"/>
        <v>17.900000000000006</v>
      </c>
      <c r="L165" s="3" t="s">
        <v>105</v>
      </c>
      <c r="M165" s="4">
        <v>14.8</v>
      </c>
      <c r="N165" s="4">
        <v>14</v>
      </c>
      <c r="O165" s="4">
        <v>88</v>
      </c>
      <c r="P165" s="4">
        <v>88.8</v>
      </c>
      <c r="Q165" s="4">
        <f t="shared" si="64"/>
        <v>0.80000000000000071</v>
      </c>
      <c r="R165" s="5">
        <f t="shared" si="73"/>
        <v>0.79999999999999716</v>
      </c>
      <c r="V165" s="3" t="s">
        <v>105</v>
      </c>
      <c r="W165" s="4">
        <v>14.8</v>
      </c>
      <c r="X165" s="4">
        <v>13.8</v>
      </c>
      <c r="Y165" s="4">
        <v>88</v>
      </c>
      <c r="Z165" s="4">
        <v>88.8</v>
      </c>
      <c r="AA165" s="4">
        <f t="shared" si="66"/>
        <v>1</v>
      </c>
      <c r="AB165" s="5">
        <f t="shared" si="74"/>
        <v>0.79999999999999716</v>
      </c>
      <c r="AG165" s="3" t="s">
        <v>105</v>
      </c>
      <c r="AH165" s="4">
        <v>14.8</v>
      </c>
      <c r="AI165" s="4"/>
      <c r="AJ165" s="4">
        <v>88</v>
      </c>
      <c r="AK165" s="4"/>
      <c r="AL165" s="4"/>
      <c r="AM165" s="5"/>
      <c r="AR165" s="3" t="s">
        <v>105</v>
      </c>
      <c r="AS165" s="4">
        <v>14.8</v>
      </c>
      <c r="AT165" s="4">
        <v>15.2</v>
      </c>
      <c r="AU165" s="4">
        <v>88</v>
      </c>
      <c r="AV165" s="4">
        <v>87.6</v>
      </c>
      <c r="AW165">
        <f t="shared" si="70"/>
        <v>0.39999999999999858</v>
      </c>
      <c r="AX165" s="13">
        <f t="shared" si="76"/>
        <v>0.40000000000000568</v>
      </c>
    </row>
    <row r="166" spans="2:50" x14ac:dyDescent="0.25">
      <c r="B166" s="12"/>
      <c r="C166">
        <v>12</v>
      </c>
      <c r="D166">
        <v>10</v>
      </c>
      <c r="E166">
        <v>89</v>
      </c>
      <c r="F166">
        <v>74.8</v>
      </c>
      <c r="G166">
        <f t="shared" si="62"/>
        <v>2</v>
      </c>
      <c r="H166" s="13">
        <f t="shared" si="72"/>
        <v>14.200000000000003</v>
      </c>
      <c r="L166" s="12"/>
      <c r="M166">
        <v>12</v>
      </c>
      <c r="N166">
        <v>10.7</v>
      </c>
      <c r="O166">
        <v>89</v>
      </c>
      <c r="P166">
        <v>95.4</v>
      </c>
      <c r="Q166">
        <f t="shared" si="64"/>
        <v>1.3000000000000007</v>
      </c>
      <c r="R166" s="13">
        <f t="shared" si="73"/>
        <v>6.4000000000000057</v>
      </c>
      <c r="V166" s="12"/>
      <c r="W166">
        <v>12</v>
      </c>
      <c r="X166">
        <v>11.7</v>
      </c>
      <c r="Y166">
        <v>89</v>
      </c>
      <c r="Z166">
        <v>91.4</v>
      </c>
      <c r="AA166">
        <f t="shared" si="66"/>
        <v>0.30000000000000071</v>
      </c>
      <c r="AB166" s="13">
        <f t="shared" si="74"/>
        <v>2.4000000000000057</v>
      </c>
      <c r="AG166" s="12"/>
      <c r="AH166">
        <v>12</v>
      </c>
      <c r="AJ166">
        <v>89</v>
      </c>
      <c r="AM166" s="13"/>
      <c r="AR166" s="12"/>
      <c r="AS166">
        <v>12</v>
      </c>
      <c r="AT166">
        <v>11.9</v>
      </c>
      <c r="AU166">
        <v>89</v>
      </c>
      <c r="AV166">
        <v>73.5</v>
      </c>
      <c r="AW166">
        <f t="shared" si="70"/>
        <v>9.9999999999999645E-2</v>
      </c>
      <c r="AX166" s="13">
        <f t="shared" si="76"/>
        <v>15.5</v>
      </c>
    </row>
    <row r="167" spans="2:50" x14ac:dyDescent="0.25">
      <c r="B167" s="12"/>
      <c r="C167">
        <v>8.8000000000000007</v>
      </c>
      <c r="D167">
        <v>8.5</v>
      </c>
      <c r="E167">
        <v>74</v>
      </c>
      <c r="F167">
        <v>58.2</v>
      </c>
      <c r="G167">
        <f t="shared" si="62"/>
        <v>0.30000000000000071</v>
      </c>
      <c r="H167" s="13">
        <f t="shared" si="72"/>
        <v>15.799999999999997</v>
      </c>
      <c r="L167" s="12"/>
      <c r="M167">
        <v>8.8000000000000007</v>
      </c>
      <c r="N167">
        <v>9.6</v>
      </c>
      <c r="O167">
        <v>74</v>
      </c>
      <c r="P167">
        <v>52.8</v>
      </c>
      <c r="Q167">
        <f t="shared" si="64"/>
        <v>0.79999999999999893</v>
      </c>
      <c r="R167" s="13">
        <f t="shared" si="73"/>
        <v>21.200000000000003</v>
      </c>
      <c r="V167" s="12"/>
      <c r="W167">
        <v>8.8000000000000007</v>
      </c>
      <c r="X167">
        <v>8.1999999999999993</v>
      </c>
      <c r="Y167">
        <v>74</v>
      </c>
      <c r="Z167">
        <v>86.7</v>
      </c>
      <c r="AA167">
        <f t="shared" si="66"/>
        <v>0.60000000000000142</v>
      </c>
      <c r="AB167" s="13">
        <f t="shared" si="74"/>
        <v>12.700000000000003</v>
      </c>
      <c r="AG167" s="12"/>
      <c r="AH167">
        <v>8.8000000000000007</v>
      </c>
      <c r="AJ167">
        <v>74</v>
      </c>
      <c r="AM167" s="13"/>
      <c r="AR167" s="12"/>
      <c r="AS167">
        <v>8.8000000000000007</v>
      </c>
      <c r="AT167">
        <v>9.1999999999999993</v>
      </c>
      <c r="AU167">
        <v>74</v>
      </c>
      <c r="AV167">
        <v>60.2</v>
      </c>
      <c r="AW167">
        <f t="shared" si="70"/>
        <v>0.39999999999999858</v>
      </c>
      <c r="AX167" s="13">
        <f t="shared" si="76"/>
        <v>13.799999999999997</v>
      </c>
    </row>
    <row r="168" spans="2:50" x14ac:dyDescent="0.25">
      <c r="B168" s="6"/>
      <c r="C168" s="7">
        <v>10.8</v>
      </c>
      <c r="D168" s="7">
        <v>11</v>
      </c>
      <c r="E168" s="7">
        <v>62</v>
      </c>
      <c r="F168" s="7">
        <v>69.2</v>
      </c>
      <c r="G168">
        <f t="shared" si="62"/>
        <v>0.19999999999999929</v>
      </c>
      <c r="H168" s="13">
        <f>ABS(F168-E168)</f>
        <v>7.2000000000000028</v>
      </c>
      <c r="L168" s="6"/>
      <c r="M168" s="7">
        <v>10.8</v>
      </c>
      <c r="N168" s="7">
        <v>9.9</v>
      </c>
      <c r="O168" s="7">
        <v>62</v>
      </c>
      <c r="P168" s="7">
        <v>93.2</v>
      </c>
      <c r="Q168" s="7">
        <f t="shared" si="64"/>
        <v>0.90000000000000036</v>
      </c>
      <c r="R168" s="8">
        <f t="shared" si="73"/>
        <v>31.200000000000003</v>
      </c>
      <c r="V168" s="6"/>
      <c r="W168" s="7">
        <v>10.8</v>
      </c>
      <c r="X168" s="7">
        <v>9.6999999999999993</v>
      </c>
      <c r="Y168" s="7">
        <v>62</v>
      </c>
      <c r="Z168" s="7">
        <v>82.9</v>
      </c>
      <c r="AA168" s="7">
        <f t="shared" si="66"/>
        <v>1.1000000000000014</v>
      </c>
      <c r="AB168" s="8">
        <f t="shared" si="74"/>
        <v>20.900000000000006</v>
      </c>
      <c r="AG168" s="6"/>
      <c r="AH168" s="7">
        <v>10.8</v>
      </c>
      <c r="AI168" s="7"/>
      <c r="AJ168" s="7">
        <v>62</v>
      </c>
      <c r="AK168" s="7"/>
      <c r="AL168" s="7"/>
      <c r="AM168" s="8"/>
      <c r="AR168" s="6"/>
      <c r="AS168" s="7">
        <v>10.8</v>
      </c>
      <c r="AT168" s="7">
        <v>10.7</v>
      </c>
      <c r="AU168" s="7">
        <v>62</v>
      </c>
      <c r="AV168" s="7">
        <v>86.8</v>
      </c>
      <c r="AW168" s="7">
        <f t="shared" si="70"/>
        <v>0.10000000000000142</v>
      </c>
      <c r="AX168" s="8">
        <f t="shared" si="76"/>
        <v>24.799999999999997</v>
      </c>
    </row>
    <row r="169" spans="2:50" x14ac:dyDescent="0.25">
      <c r="B169" s="3" t="s">
        <v>106</v>
      </c>
      <c r="C169" s="4">
        <v>15</v>
      </c>
      <c r="D169" s="4">
        <v>14.7</v>
      </c>
      <c r="E169" s="4">
        <v>97</v>
      </c>
      <c r="F169" s="4">
        <v>71.900000000000006</v>
      </c>
      <c r="G169" s="4">
        <f t="shared" si="62"/>
        <v>0.30000000000000071</v>
      </c>
      <c r="H169" s="5">
        <f t="shared" ref="H169:H188" si="77">ABS(F169-E169)</f>
        <v>25.099999999999994</v>
      </c>
      <c r="L169" s="3" t="s">
        <v>106</v>
      </c>
      <c r="M169" s="4">
        <v>15</v>
      </c>
      <c r="N169" s="4">
        <v>14.3</v>
      </c>
      <c r="O169" s="4">
        <v>97</v>
      </c>
      <c r="P169" s="4">
        <v>90</v>
      </c>
      <c r="Q169">
        <f t="shared" si="64"/>
        <v>0.69999999999999929</v>
      </c>
      <c r="R169" s="13">
        <f t="shared" si="73"/>
        <v>7</v>
      </c>
      <c r="V169" s="3" t="s">
        <v>106</v>
      </c>
      <c r="W169" s="4">
        <v>15</v>
      </c>
      <c r="X169" s="4">
        <v>14</v>
      </c>
      <c r="Y169" s="4">
        <v>97</v>
      </c>
      <c r="Z169" s="4">
        <v>94.6</v>
      </c>
      <c r="AA169" s="4">
        <f t="shared" si="66"/>
        <v>1</v>
      </c>
      <c r="AB169" s="5">
        <f t="shared" si="74"/>
        <v>2.4000000000000057</v>
      </c>
      <c r="AG169" s="3" t="s">
        <v>106</v>
      </c>
      <c r="AH169" s="4">
        <v>15</v>
      </c>
      <c r="AI169" s="4"/>
      <c r="AJ169" s="4">
        <v>97</v>
      </c>
      <c r="AK169" s="4"/>
      <c r="AL169" s="4"/>
      <c r="AM169" s="5"/>
      <c r="AR169" s="3" t="s">
        <v>106</v>
      </c>
      <c r="AS169" s="4">
        <v>15</v>
      </c>
      <c r="AT169" s="4">
        <v>14.8</v>
      </c>
      <c r="AU169" s="4">
        <v>97</v>
      </c>
      <c r="AV169" s="4">
        <v>64.7</v>
      </c>
      <c r="AW169">
        <f t="shared" si="70"/>
        <v>0.19999999999999929</v>
      </c>
      <c r="AX169" s="13">
        <f t="shared" si="76"/>
        <v>32.299999999999997</v>
      </c>
    </row>
    <row r="170" spans="2:50" x14ac:dyDescent="0.25">
      <c r="B170" s="12"/>
      <c r="C170">
        <v>10</v>
      </c>
      <c r="D170">
        <v>9.6</v>
      </c>
      <c r="E170">
        <v>92</v>
      </c>
      <c r="F170">
        <v>80.7</v>
      </c>
      <c r="G170">
        <f t="shared" si="62"/>
        <v>0.40000000000000036</v>
      </c>
      <c r="H170" s="13">
        <f t="shared" si="77"/>
        <v>11.299999999999997</v>
      </c>
      <c r="L170" s="12"/>
      <c r="M170">
        <v>10</v>
      </c>
      <c r="N170">
        <v>10</v>
      </c>
      <c r="O170">
        <v>92</v>
      </c>
      <c r="P170">
        <v>86</v>
      </c>
      <c r="Q170">
        <f t="shared" si="64"/>
        <v>0</v>
      </c>
      <c r="R170" s="13">
        <f t="shared" si="73"/>
        <v>6</v>
      </c>
      <c r="V170" s="12"/>
      <c r="W170">
        <v>10</v>
      </c>
      <c r="X170">
        <v>10</v>
      </c>
      <c r="Y170">
        <v>92</v>
      </c>
      <c r="Z170">
        <v>87.9</v>
      </c>
      <c r="AA170">
        <f t="shared" si="66"/>
        <v>0</v>
      </c>
      <c r="AB170" s="13">
        <f t="shared" si="74"/>
        <v>4.0999999999999943</v>
      </c>
      <c r="AG170" s="12"/>
      <c r="AH170">
        <v>10</v>
      </c>
      <c r="AJ170">
        <v>92</v>
      </c>
      <c r="AM170" s="13"/>
      <c r="AR170" s="12"/>
      <c r="AS170">
        <v>10</v>
      </c>
      <c r="AT170">
        <v>9.6</v>
      </c>
      <c r="AU170">
        <v>92</v>
      </c>
      <c r="AV170">
        <v>89.2</v>
      </c>
      <c r="AW170">
        <f t="shared" si="70"/>
        <v>0.40000000000000036</v>
      </c>
      <c r="AX170" s="13">
        <f t="shared" si="76"/>
        <v>2.7999999999999972</v>
      </c>
    </row>
    <row r="171" spans="2:50" x14ac:dyDescent="0.25">
      <c r="B171" s="12"/>
      <c r="C171">
        <v>8.8000000000000007</v>
      </c>
      <c r="D171">
        <v>6.9</v>
      </c>
      <c r="E171">
        <v>77</v>
      </c>
      <c r="F171">
        <v>63.4</v>
      </c>
      <c r="G171">
        <f t="shared" si="62"/>
        <v>1.9000000000000004</v>
      </c>
      <c r="H171" s="13">
        <f t="shared" si="77"/>
        <v>13.600000000000001</v>
      </c>
      <c r="L171" s="12"/>
      <c r="M171">
        <v>8.8000000000000007</v>
      </c>
      <c r="N171">
        <v>9.1</v>
      </c>
      <c r="O171">
        <v>77</v>
      </c>
      <c r="P171">
        <v>66.400000000000006</v>
      </c>
      <c r="Q171">
        <f t="shared" si="64"/>
        <v>0.29999999999999893</v>
      </c>
      <c r="R171" s="13">
        <f t="shared" si="73"/>
        <v>10.599999999999994</v>
      </c>
      <c r="V171" s="12"/>
      <c r="W171">
        <v>8.8000000000000007</v>
      </c>
      <c r="X171">
        <v>7.9</v>
      </c>
      <c r="Y171">
        <v>77</v>
      </c>
      <c r="Z171">
        <v>84.1</v>
      </c>
      <c r="AA171">
        <f t="shared" si="66"/>
        <v>0.90000000000000036</v>
      </c>
      <c r="AB171" s="13">
        <f t="shared" si="74"/>
        <v>7.0999999999999943</v>
      </c>
      <c r="AG171" s="12"/>
      <c r="AH171">
        <v>8.8000000000000007</v>
      </c>
      <c r="AJ171">
        <v>77</v>
      </c>
      <c r="AM171" s="13"/>
      <c r="AR171" s="12"/>
      <c r="AS171">
        <v>8.8000000000000007</v>
      </c>
      <c r="AT171">
        <v>8.4</v>
      </c>
      <c r="AU171">
        <v>77</v>
      </c>
      <c r="AV171">
        <v>66.5</v>
      </c>
      <c r="AW171">
        <f t="shared" si="70"/>
        <v>0.40000000000000036</v>
      </c>
      <c r="AX171" s="13">
        <f t="shared" si="76"/>
        <v>10.5</v>
      </c>
    </row>
    <row r="172" spans="2:50" x14ac:dyDescent="0.25">
      <c r="B172" s="6"/>
      <c r="C172" s="7">
        <v>12.4</v>
      </c>
      <c r="D172" s="7">
        <v>12.1</v>
      </c>
      <c r="E172" s="7">
        <v>61</v>
      </c>
      <c r="F172" s="7">
        <v>65.599999999999994</v>
      </c>
      <c r="G172" s="7">
        <f t="shared" si="62"/>
        <v>0.30000000000000071</v>
      </c>
      <c r="H172" s="8">
        <f t="shared" si="77"/>
        <v>4.5999999999999943</v>
      </c>
      <c r="L172" s="6"/>
      <c r="M172" s="7">
        <v>12.4</v>
      </c>
      <c r="N172" s="7">
        <v>13.2</v>
      </c>
      <c r="O172" s="7">
        <v>61</v>
      </c>
      <c r="P172" s="7">
        <v>60.8</v>
      </c>
      <c r="Q172" s="7">
        <f t="shared" si="64"/>
        <v>0.79999999999999893</v>
      </c>
      <c r="R172" s="8">
        <f t="shared" si="73"/>
        <v>0.20000000000000284</v>
      </c>
      <c r="V172" s="6"/>
      <c r="W172" s="7">
        <v>12.4</v>
      </c>
      <c r="X172" s="7">
        <v>11.1</v>
      </c>
      <c r="Y172" s="7">
        <v>61</v>
      </c>
      <c r="Z172" s="7">
        <v>83.5</v>
      </c>
      <c r="AA172" s="7">
        <f t="shared" si="66"/>
        <v>1.3000000000000007</v>
      </c>
      <c r="AB172" s="8">
        <f t="shared" si="74"/>
        <v>22.5</v>
      </c>
      <c r="AG172" s="6"/>
      <c r="AH172" s="7">
        <v>12.4</v>
      </c>
      <c r="AI172" s="7"/>
      <c r="AJ172" s="7">
        <v>61</v>
      </c>
      <c r="AK172" s="7"/>
      <c r="AL172" s="7"/>
      <c r="AM172" s="8"/>
      <c r="AR172" s="6"/>
      <c r="AS172" s="7">
        <v>12.4</v>
      </c>
      <c r="AT172" s="7">
        <v>12.4</v>
      </c>
      <c r="AU172" s="7">
        <v>61</v>
      </c>
      <c r="AV172" s="7">
        <v>52.8</v>
      </c>
      <c r="AW172" s="7">
        <f t="shared" si="70"/>
        <v>0</v>
      </c>
      <c r="AX172" s="8">
        <f t="shared" si="76"/>
        <v>8.2000000000000028</v>
      </c>
    </row>
    <row r="173" spans="2:50" x14ac:dyDescent="0.25">
      <c r="B173" s="3" t="s">
        <v>107</v>
      </c>
      <c r="C173" s="4">
        <v>13.8</v>
      </c>
      <c r="D173" s="4">
        <v>13.8</v>
      </c>
      <c r="E173" s="4">
        <v>93</v>
      </c>
      <c r="F173" s="4">
        <v>76.3</v>
      </c>
      <c r="G173" s="4">
        <f t="shared" si="62"/>
        <v>0</v>
      </c>
      <c r="H173" s="5">
        <f t="shared" si="77"/>
        <v>16.700000000000003</v>
      </c>
      <c r="L173" s="3" t="s">
        <v>107</v>
      </c>
      <c r="M173" s="4">
        <v>13.8</v>
      </c>
      <c r="N173" s="4">
        <v>14</v>
      </c>
      <c r="O173" s="4">
        <v>93</v>
      </c>
      <c r="P173" s="4">
        <v>94</v>
      </c>
      <c r="Q173" s="4">
        <f t="shared" si="64"/>
        <v>0.19999999999999929</v>
      </c>
      <c r="R173" s="5">
        <f t="shared" si="73"/>
        <v>1</v>
      </c>
      <c r="V173" s="3" t="s">
        <v>107</v>
      </c>
      <c r="W173" s="4">
        <v>13.8</v>
      </c>
      <c r="X173" s="4">
        <v>14.1</v>
      </c>
      <c r="Y173" s="4">
        <v>93</v>
      </c>
      <c r="Z173" s="4">
        <v>89.1</v>
      </c>
      <c r="AA173" s="4">
        <f t="shared" si="66"/>
        <v>0.29999999999999893</v>
      </c>
      <c r="AB173" s="5">
        <f t="shared" si="74"/>
        <v>3.9000000000000057</v>
      </c>
      <c r="AG173" s="3" t="s">
        <v>107</v>
      </c>
      <c r="AH173" s="4">
        <v>13.8</v>
      </c>
      <c r="AI173" s="4"/>
      <c r="AJ173" s="4">
        <v>93</v>
      </c>
      <c r="AK173" s="4"/>
      <c r="AL173" s="4"/>
      <c r="AM173" s="5"/>
      <c r="AR173" s="3" t="s">
        <v>107</v>
      </c>
      <c r="AS173" s="4">
        <v>13.8</v>
      </c>
      <c r="AT173" s="4">
        <v>13.6</v>
      </c>
      <c r="AU173" s="4">
        <v>93</v>
      </c>
      <c r="AV173" s="4">
        <v>80.900000000000006</v>
      </c>
      <c r="AW173" s="4">
        <f t="shared" si="70"/>
        <v>0.20000000000000107</v>
      </c>
      <c r="AX173" s="5">
        <f t="shared" si="76"/>
        <v>12.099999999999994</v>
      </c>
    </row>
    <row r="174" spans="2:50" x14ac:dyDescent="0.25">
      <c r="B174" s="12"/>
      <c r="C174">
        <v>13</v>
      </c>
      <c r="D174">
        <v>13.3</v>
      </c>
      <c r="E174">
        <v>93</v>
      </c>
      <c r="F174">
        <v>69.3</v>
      </c>
      <c r="G174">
        <f t="shared" si="62"/>
        <v>0.30000000000000071</v>
      </c>
      <c r="H174" s="13">
        <f t="shared" si="77"/>
        <v>23.700000000000003</v>
      </c>
      <c r="L174" s="12"/>
      <c r="M174">
        <v>13</v>
      </c>
      <c r="N174">
        <v>13.5</v>
      </c>
      <c r="O174">
        <v>93</v>
      </c>
      <c r="P174">
        <v>94.4</v>
      </c>
      <c r="Q174">
        <f t="shared" si="64"/>
        <v>0.5</v>
      </c>
      <c r="R174" s="13">
        <f t="shared" si="73"/>
        <v>1.4000000000000057</v>
      </c>
      <c r="V174" s="12"/>
      <c r="W174">
        <v>13</v>
      </c>
      <c r="X174">
        <v>12.9</v>
      </c>
      <c r="Y174">
        <v>93</v>
      </c>
      <c r="Z174">
        <v>93.5</v>
      </c>
      <c r="AA174">
        <f t="shared" si="66"/>
        <v>9.9999999999999645E-2</v>
      </c>
      <c r="AB174" s="13">
        <f t="shared" si="74"/>
        <v>0.5</v>
      </c>
      <c r="AG174" s="12"/>
      <c r="AH174">
        <v>13</v>
      </c>
      <c r="AJ174">
        <v>93</v>
      </c>
      <c r="AM174" s="13"/>
      <c r="AR174" s="12"/>
      <c r="AS174">
        <v>13</v>
      </c>
      <c r="AT174">
        <v>13.3</v>
      </c>
      <c r="AU174">
        <v>93</v>
      </c>
      <c r="AV174">
        <v>58.8</v>
      </c>
      <c r="AW174">
        <f t="shared" si="70"/>
        <v>0.30000000000000071</v>
      </c>
      <c r="AX174" s="13">
        <f t="shared" si="76"/>
        <v>34.200000000000003</v>
      </c>
    </row>
    <row r="175" spans="2:50" x14ac:dyDescent="0.25">
      <c r="B175" s="12"/>
      <c r="C175">
        <v>10.8</v>
      </c>
      <c r="D175">
        <v>11.1</v>
      </c>
      <c r="E175">
        <v>78</v>
      </c>
      <c r="F175">
        <v>71.8</v>
      </c>
      <c r="G175">
        <f t="shared" si="62"/>
        <v>0.29999999999999893</v>
      </c>
      <c r="H175" s="13">
        <f t="shared" si="77"/>
        <v>6.2000000000000028</v>
      </c>
      <c r="L175" s="12"/>
      <c r="M175">
        <v>10.8</v>
      </c>
      <c r="N175">
        <v>9.9</v>
      </c>
      <c r="O175">
        <v>78</v>
      </c>
      <c r="P175">
        <v>68.400000000000006</v>
      </c>
      <c r="Q175">
        <f t="shared" si="64"/>
        <v>0.90000000000000036</v>
      </c>
      <c r="R175" s="13">
        <f t="shared" si="73"/>
        <v>9.5999999999999943</v>
      </c>
      <c r="V175" s="12"/>
      <c r="W175">
        <v>10.8</v>
      </c>
      <c r="X175">
        <v>11.7</v>
      </c>
      <c r="Y175">
        <v>78</v>
      </c>
      <c r="Z175">
        <v>86.4</v>
      </c>
      <c r="AA175">
        <f t="shared" si="66"/>
        <v>0.89999999999999858</v>
      </c>
      <c r="AB175" s="13">
        <f t="shared" si="74"/>
        <v>8.4000000000000057</v>
      </c>
      <c r="AG175" s="12"/>
      <c r="AH175">
        <v>10.8</v>
      </c>
      <c r="AJ175">
        <v>78</v>
      </c>
      <c r="AM175" s="13"/>
      <c r="AR175" s="12"/>
      <c r="AS175">
        <v>10.8</v>
      </c>
      <c r="AT175">
        <v>11.4</v>
      </c>
      <c r="AU175">
        <v>78</v>
      </c>
      <c r="AV175">
        <v>53.2</v>
      </c>
      <c r="AW175">
        <f t="shared" si="70"/>
        <v>0.59999999999999964</v>
      </c>
      <c r="AX175" s="13">
        <f t="shared" si="76"/>
        <v>24.799999999999997</v>
      </c>
    </row>
    <row r="176" spans="2:50" x14ac:dyDescent="0.25">
      <c r="B176" s="6"/>
      <c r="C176" s="7">
        <v>11.6</v>
      </c>
      <c r="D176" s="7">
        <v>9.6999999999999993</v>
      </c>
      <c r="E176" s="7">
        <v>68</v>
      </c>
      <c r="F176" s="7">
        <v>74.599999999999994</v>
      </c>
      <c r="G176" s="7">
        <f t="shared" si="62"/>
        <v>1.9000000000000004</v>
      </c>
      <c r="H176" s="8">
        <f t="shared" si="77"/>
        <v>6.5999999999999943</v>
      </c>
      <c r="L176" s="6"/>
      <c r="M176" s="7">
        <v>11.6</v>
      </c>
      <c r="N176" s="7">
        <v>10</v>
      </c>
      <c r="O176" s="7">
        <v>68</v>
      </c>
      <c r="P176" s="7">
        <v>86.8</v>
      </c>
      <c r="Q176" s="7">
        <f t="shared" si="64"/>
        <v>1.5999999999999996</v>
      </c>
      <c r="R176" s="8">
        <f t="shared" si="73"/>
        <v>18.799999999999997</v>
      </c>
      <c r="V176" s="6"/>
      <c r="W176" s="7">
        <v>11.6</v>
      </c>
      <c r="X176" s="7">
        <v>9.4</v>
      </c>
      <c r="Y176" s="7">
        <v>68</v>
      </c>
      <c r="Z176" s="7">
        <v>85</v>
      </c>
      <c r="AA176">
        <f t="shared" si="66"/>
        <v>2.1999999999999993</v>
      </c>
      <c r="AB176" s="13">
        <f t="shared" si="74"/>
        <v>17</v>
      </c>
      <c r="AG176" s="6"/>
      <c r="AH176" s="7">
        <v>11.6</v>
      </c>
      <c r="AI176" s="7"/>
      <c r="AJ176" s="7">
        <v>68</v>
      </c>
      <c r="AK176" s="7"/>
      <c r="AL176" s="7"/>
      <c r="AM176" s="8"/>
      <c r="AR176" s="6"/>
      <c r="AS176" s="7">
        <v>11.6</v>
      </c>
      <c r="AT176" s="7">
        <v>10.1</v>
      </c>
      <c r="AU176" s="7">
        <v>68</v>
      </c>
      <c r="AV176" s="7">
        <v>69.7</v>
      </c>
      <c r="AW176">
        <f t="shared" si="70"/>
        <v>1.5</v>
      </c>
      <c r="AX176" s="13">
        <f t="shared" si="76"/>
        <v>1.7000000000000028</v>
      </c>
    </row>
    <row r="177" spans="2:50" x14ac:dyDescent="0.25">
      <c r="B177" s="3" t="s">
        <v>108</v>
      </c>
      <c r="C177" s="4">
        <v>13</v>
      </c>
      <c r="D177" s="4">
        <v>13.2</v>
      </c>
      <c r="E177" s="4">
        <v>94</v>
      </c>
      <c r="F177" s="4">
        <v>71.900000000000006</v>
      </c>
      <c r="G177" s="4">
        <f t="shared" si="62"/>
        <v>0.19999999999999929</v>
      </c>
      <c r="H177" s="5">
        <f t="shared" si="77"/>
        <v>22.099999999999994</v>
      </c>
      <c r="L177" s="3" t="s">
        <v>108</v>
      </c>
      <c r="M177" s="4">
        <v>13</v>
      </c>
      <c r="N177" s="4">
        <v>13.6</v>
      </c>
      <c r="O177" s="4">
        <v>94</v>
      </c>
      <c r="P177" s="4">
        <v>50</v>
      </c>
      <c r="Q177" s="4">
        <f t="shared" si="64"/>
        <v>0.59999999999999964</v>
      </c>
      <c r="R177" s="5">
        <f t="shared" si="73"/>
        <v>44</v>
      </c>
      <c r="V177" s="3" t="s">
        <v>108</v>
      </c>
      <c r="W177" s="4">
        <v>13</v>
      </c>
      <c r="X177" s="4">
        <v>12.9</v>
      </c>
      <c r="Y177" s="4">
        <v>94</v>
      </c>
      <c r="Z177" s="4">
        <v>83.2</v>
      </c>
      <c r="AA177" s="4">
        <f t="shared" si="66"/>
        <v>9.9999999999999645E-2</v>
      </c>
      <c r="AB177" s="5">
        <f t="shared" si="74"/>
        <v>10.799999999999997</v>
      </c>
      <c r="AG177" s="3" t="s">
        <v>108</v>
      </c>
      <c r="AH177" s="4">
        <v>13</v>
      </c>
      <c r="AI177" s="4"/>
      <c r="AJ177" s="4">
        <v>94</v>
      </c>
      <c r="AK177" s="4"/>
      <c r="AL177" s="4"/>
      <c r="AM177" s="5"/>
      <c r="AR177" s="3" t="s">
        <v>108</v>
      </c>
      <c r="AS177" s="4">
        <v>13</v>
      </c>
      <c r="AT177" s="4">
        <v>13.1</v>
      </c>
      <c r="AU177" s="4">
        <v>94</v>
      </c>
      <c r="AV177" s="4">
        <v>58.4</v>
      </c>
      <c r="AW177" s="4">
        <f>ABS(AS177-AT177)</f>
        <v>9.9999999999999645E-2</v>
      </c>
      <c r="AX177" s="5">
        <f>ABS(AV177-AU177)</f>
        <v>35.6</v>
      </c>
    </row>
    <row r="178" spans="2:50" x14ac:dyDescent="0.25">
      <c r="B178" s="12"/>
      <c r="C178">
        <v>10.8</v>
      </c>
      <c r="D178">
        <v>11</v>
      </c>
      <c r="E178">
        <v>86</v>
      </c>
      <c r="F178">
        <v>71.7</v>
      </c>
      <c r="G178">
        <f t="shared" si="62"/>
        <v>0.19999999999999929</v>
      </c>
      <c r="H178" s="13">
        <f t="shared" si="77"/>
        <v>14.299999999999997</v>
      </c>
      <c r="L178" s="12"/>
      <c r="M178">
        <v>10.8</v>
      </c>
      <c r="N178">
        <v>10</v>
      </c>
      <c r="O178">
        <v>86</v>
      </c>
      <c r="P178">
        <v>85.2</v>
      </c>
      <c r="Q178">
        <f t="shared" si="64"/>
        <v>0.80000000000000071</v>
      </c>
      <c r="R178" s="13">
        <f t="shared" si="73"/>
        <v>0.79999999999999716</v>
      </c>
      <c r="V178" s="12"/>
      <c r="W178">
        <v>10.8</v>
      </c>
      <c r="X178">
        <v>10.5</v>
      </c>
      <c r="Y178">
        <v>86</v>
      </c>
      <c r="Z178">
        <v>87.9</v>
      </c>
      <c r="AA178">
        <f t="shared" si="66"/>
        <v>0.30000000000000071</v>
      </c>
      <c r="AB178" s="13">
        <f t="shared" si="74"/>
        <v>1.9000000000000057</v>
      </c>
      <c r="AG178" s="12"/>
      <c r="AH178">
        <v>10.8</v>
      </c>
      <c r="AJ178">
        <v>86</v>
      </c>
      <c r="AM178" s="13"/>
      <c r="AR178" s="12"/>
      <c r="AS178">
        <v>10.8</v>
      </c>
      <c r="AT178">
        <v>10.6</v>
      </c>
      <c r="AU178">
        <v>86</v>
      </c>
      <c r="AV178">
        <v>83.8</v>
      </c>
      <c r="AW178">
        <f t="shared" ref="AW178:AW188" si="78">ABS(AS178-AT178)</f>
        <v>0.20000000000000107</v>
      </c>
      <c r="AX178" s="13">
        <f t="shared" ref="AX178:AX188" si="79">ABS(AV178-AU178)</f>
        <v>2.2000000000000028</v>
      </c>
    </row>
    <row r="179" spans="2:50" x14ac:dyDescent="0.25">
      <c r="B179" s="12"/>
      <c r="C179">
        <v>9.4</v>
      </c>
      <c r="D179">
        <v>9.1999999999999993</v>
      </c>
      <c r="E179">
        <v>74</v>
      </c>
      <c r="F179">
        <v>71.7</v>
      </c>
      <c r="G179">
        <f t="shared" si="62"/>
        <v>0.20000000000000107</v>
      </c>
      <c r="H179" s="13">
        <f t="shared" si="77"/>
        <v>2.2999999999999972</v>
      </c>
      <c r="L179" s="12"/>
      <c r="M179">
        <v>9.4</v>
      </c>
      <c r="N179">
        <v>9.6</v>
      </c>
      <c r="O179">
        <v>74</v>
      </c>
      <c r="P179">
        <v>50.4</v>
      </c>
      <c r="Q179">
        <f t="shared" si="64"/>
        <v>0.19999999999999929</v>
      </c>
      <c r="R179" s="13">
        <f t="shared" si="73"/>
        <v>23.6</v>
      </c>
      <c r="V179" s="12"/>
      <c r="W179">
        <v>9.4</v>
      </c>
      <c r="X179">
        <v>9.4</v>
      </c>
      <c r="Y179">
        <v>74</v>
      </c>
      <c r="Z179">
        <v>87.6</v>
      </c>
      <c r="AA179">
        <f t="shared" si="66"/>
        <v>0</v>
      </c>
      <c r="AB179" s="13">
        <f t="shared" si="74"/>
        <v>13.599999999999994</v>
      </c>
      <c r="AG179" s="12"/>
      <c r="AH179">
        <v>9.4</v>
      </c>
      <c r="AJ179">
        <v>74</v>
      </c>
      <c r="AM179" s="13"/>
      <c r="AR179" s="12"/>
      <c r="AS179">
        <v>9.4</v>
      </c>
      <c r="AT179">
        <v>9.4</v>
      </c>
      <c r="AU179">
        <v>74</v>
      </c>
      <c r="AV179">
        <v>67.5</v>
      </c>
      <c r="AW179">
        <f t="shared" si="78"/>
        <v>0</v>
      </c>
      <c r="AX179" s="13">
        <f t="shared" si="79"/>
        <v>6.5</v>
      </c>
    </row>
    <row r="180" spans="2:50" x14ac:dyDescent="0.25">
      <c r="B180" s="6"/>
      <c r="C180" s="7">
        <v>11.8</v>
      </c>
      <c r="D180" s="7">
        <v>11</v>
      </c>
      <c r="E180" s="7">
        <v>66</v>
      </c>
      <c r="F180" s="7">
        <v>67.099999999999994</v>
      </c>
      <c r="G180">
        <f t="shared" si="62"/>
        <v>0.80000000000000071</v>
      </c>
      <c r="H180" s="13">
        <f>ABS(F180-E180)</f>
        <v>1.0999999999999943</v>
      </c>
      <c r="L180" s="6"/>
      <c r="M180" s="7">
        <v>11.8</v>
      </c>
      <c r="N180" s="7">
        <v>9.6</v>
      </c>
      <c r="O180" s="7">
        <v>66</v>
      </c>
      <c r="P180" s="7">
        <v>63.6</v>
      </c>
      <c r="Q180" s="7">
        <f t="shared" si="64"/>
        <v>2.2000000000000011</v>
      </c>
      <c r="R180" s="8">
        <f t="shared" si="73"/>
        <v>2.3999999999999986</v>
      </c>
      <c r="V180" s="6"/>
      <c r="W180" s="7">
        <v>11.8</v>
      </c>
      <c r="X180" s="7">
        <v>10.5</v>
      </c>
      <c r="Y180" s="7">
        <v>66</v>
      </c>
      <c r="Z180" s="7">
        <v>83.2</v>
      </c>
      <c r="AA180" s="7">
        <f t="shared" si="66"/>
        <v>1.3000000000000007</v>
      </c>
      <c r="AB180" s="8">
        <f t="shared" si="74"/>
        <v>17.200000000000003</v>
      </c>
      <c r="AG180" s="6"/>
      <c r="AH180" s="7">
        <v>11.8</v>
      </c>
      <c r="AI180" s="7"/>
      <c r="AJ180" s="7">
        <v>66</v>
      </c>
      <c r="AK180" s="7"/>
      <c r="AL180" s="7"/>
      <c r="AM180" s="8"/>
      <c r="AR180" s="6"/>
      <c r="AS180" s="7">
        <v>11.8</v>
      </c>
      <c r="AT180" s="7">
        <v>11.2</v>
      </c>
      <c r="AU180" s="7">
        <v>66</v>
      </c>
      <c r="AV180" s="7">
        <v>62.4</v>
      </c>
      <c r="AW180" s="7">
        <f t="shared" si="78"/>
        <v>0.60000000000000142</v>
      </c>
      <c r="AX180" s="8">
        <f t="shared" si="79"/>
        <v>3.6000000000000014</v>
      </c>
    </row>
    <row r="181" spans="2:50" x14ac:dyDescent="0.25">
      <c r="B181" s="3" t="s">
        <v>109</v>
      </c>
      <c r="C181" s="4">
        <v>13.6</v>
      </c>
      <c r="D181" s="4">
        <v>11.1</v>
      </c>
      <c r="E181" s="4">
        <v>99</v>
      </c>
      <c r="F181" s="4">
        <v>82.7</v>
      </c>
      <c r="G181" s="4">
        <f t="shared" si="62"/>
        <v>2.5</v>
      </c>
      <c r="H181" s="5">
        <f t="shared" si="77"/>
        <v>16.299999999999997</v>
      </c>
      <c r="L181" s="3" t="s">
        <v>109</v>
      </c>
      <c r="M181" s="4">
        <v>13.6</v>
      </c>
      <c r="N181" s="4">
        <v>13.7</v>
      </c>
      <c r="O181" s="4">
        <v>99</v>
      </c>
      <c r="P181" s="4">
        <v>72</v>
      </c>
      <c r="Q181" s="4">
        <f t="shared" si="64"/>
        <v>9.9999999999999645E-2</v>
      </c>
      <c r="R181" s="5">
        <f t="shared" si="73"/>
        <v>27</v>
      </c>
      <c r="V181" s="3" t="s">
        <v>109</v>
      </c>
      <c r="W181" s="4">
        <v>13.6</v>
      </c>
      <c r="X181" s="4">
        <v>12.9</v>
      </c>
      <c r="Y181" s="4">
        <v>99</v>
      </c>
      <c r="Z181" s="4">
        <v>85.3</v>
      </c>
      <c r="AA181" s="4">
        <f t="shared" si="66"/>
        <v>0.69999999999999929</v>
      </c>
      <c r="AB181" s="5">
        <f t="shared" si="74"/>
        <v>13.700000000000003</v>
      </c>
      <c r="AG181" s="3" t="s">
        <v>109</v>
      </c>
      <c r="AH181" s="4">
        <v>13.6</v>
      </c>
      <c r="AI181" s="4"/>
      <c r="AJ181" s="4">
        <v>99</v>
      </c>
      <c r="AK181" s="4"/>
      <c r="AL181" s="4"/>
      <c r="AM181" s="5"/>
      <c r="AR181" s="3" t="s">
        <v>109</v>
      </c>
      <c r="AS181" s="4">
        <v>13.6</v>
      </c>
      <c r="AT181" s="4">
        <v>13.4</v>
      </c>
      <c r="AU181" s="4">
        <v>99</v>
      </c>
      <c r="AV181" s="4">
        <v>85.2</v>
      </c>
      <c r="AW181" s="4">
        <f t="shared" si="78"/>
        <v>0.19999999999999929</v>
      </c>
      <c r="AX181" s="5">
        <f t="shared" si="79"/>
        <v>13.799999999999997</v>
      </c>
    </row>
    <row r="182" spans="2:50" x14ac:dyDescent="0.25">
      <c r="B182" s="12"/>
      <c r="C182">
        <v>11.2</v>
      </c>
      <c r="D182">
        <v>11.4</v>
      </c>
      <c r="E182">
        <v>93</v>
      </c>
      <c r="F182">
        <v>68.8</v>
      </c>
      <c r="G182">
        <f t="shared" si="62"/>
        <v>0.20000000000000107</v>
      </c>
      <c r="H182" s="13">
        <f t="shared" si="77"/>
        <v>24.200000000000003</v>
      </c>
      <c r="L182" s="12"/>
      <c r="M182">
        <v>11.2</v>
      </c>
      <c r="N182">
        <v>10.5</v>
      </c>
      <c r="O182">
        <v>93</v>
      </c>
      <c r="P182">
        <v>100.4</v>
      </c>
      <c r="Q182">
        <f t="shared" si="64"/>
        <v>0.69999999999999929</v>
      </c>
      <c r="R182" s="13">
        <f t="shared" si="73"/>
        <v>7.4000000000000057</v>
      </c>
      <c r="V182" s="12"/>
      <c r="W182">
        <v>11.2</v>
      </c>
      <c r="X182">
        <v>11.7</v>
      </c>
      <c r="Y182">
        <v>93</v>
      </c>
      <c r="Z182">
        <v>91.1</v>
      </c>
      <c r="AA182">
        <f t="shared" si="66"/>
        <v>0.5</v>
      </c>
      <c r="AB182" s="13">
        <f t="shared" si="74"/>
        <v>1.9000000000000057</v>
      </c>
      <c r="AG182" s="12"/>
      <c r="AH182">
        <v>11.2</v>
      </c>
      <c r="AJ182">
        <v>93</v>
      </c>
      <c r="AM182" s="13"/>
      <c r="AR182" s="12"/>
      <c r="AS182">
        <v>11.2</v>
      </c>
      <c r="AT182">
        <v>10.9</v>
      </c>
      <c r="AU182">
        <v>93</v>
      </c>
      <c r="AV182">
        <v>85.4</v>
      </c>
      <c r="AW182">
        <f t="shared" si="78"/>
        <v>0.29999999999999893</v>
      </c>
      <c r="AX182" s="13">
        <f t="shared" si="79"/>
        <v>7.5999999999999943</v>
      </c>
    </row>
    <row r="183" spans="2:50" x14ac:dyDescent="0.25">
      <c r="B183" s="12"/>
      <c r="C183">
        <v>10.8</v>
      </c>
      <c r="D183">
        <v>10.9</v>
      </c>
      <c r="E183">
        <v>78</v>
      </c>
      <c r="F183">
        <v>70.400000000000006</v>
      </c>
      <c r="G183">
        <f t="shared" si="62"/>
        <v>9.9999999999999645E-2</v>
      </c>
      <c r="H183" s="13">
        <f t="shared" si="77"/>
        <v>7.5999999999999943</v>
      </c>
      <c r="L183" s="12"/>
      <c r="M183">
        <v>10.8</v>
      </c>
      <c r="N183">
        <v>10.1</v>
      </c>
      <c r="O183">
        <v>78</v>
      </c>
      <c r="P183">
        <v>90.4</v>
      </c>
      <c r="Q183">
        <f t="shared" si="64"/>
        <v>0.70000000000000107</v>
      </c>
      <c r="R183" s="13">
        <f t="shared" si="73"/>
        <v>12.400000000000006</v>
      </c>
      <c r="V183" s="12"/>
      <c r="W183">
        <v>10.8</v>
      </c>
      <c r="X183">
        <v>11.1</v>
      </c>
      <c r="Y183">
        <v>78</v>
      </c>
      <c r="Z183">
        <v>84.4</v>
      </c>
      <c r="AA183">
        <f t="shared" si="66"/>
        <v>0.29999999999999893</v>
      </c>
      <c r="AB183" s="13">
        <f t="shared" si="74"/>
        <v>6.4000000000000057</v>
      </c>
      <c r="AG183" s="12"/>
      <c r="AH183">
        <v>10.8</v>
      </c>
      <c r="AJ183">
        <v>78</v>
      </c>
      <c r="AM183" s="13"/>
      <c r="AR183" s="12"/>
      <c r="AS183">
        <v>10.8</v>
      </c>
      <c r="AT183">
        <v>10.199999999999999</v>
      </c>
      <c r="AU183">
        <v>78</v>
      </c>
      <c r="AV183">
        <v>78.8</v>
      </c>
      <c r="AW183">
        <f t="shared" si="78"/>
        <v>0.60000000000000142</v>
      </c>
      <c r="AX183" s="13">
        <f t="shared" si="79"/>
        <v>0.79999999999999716</v>
      </c>
    </row>
    <row r="184" spans="2:50" x14ac:dyDescent="0.25">
      <c r="B184" s="6"/>
      <c r="C184" s="7">
        <v>12.4</v>
      </c>
      <c r="D184" s="7">
        <v>10.6</v>
      </c>
      <c r="E184" s="7">
        <v>64</v>
      </c>
      <c r="F184" s="7">
        <v>72.599999999999994</v>
      </c>
      <c r="G184" s="7">
        <f t="shared" si="62"/>
        <v>1.8000000000000007</v>
      </c>
      <c r="H184" s="8">
        <f t="shared" si="77"/>
        <v>8.5999999999999943</v>
      </c>
      <c r="L184" s="6"/>
      <c r="M184" s="7">
        <v>12.4</v>
      </c>
      <c r="N184" s="7">
        <v>10.199999999999999</v>
      </c>
      <c r="O184" s="7">
        <v>64</v>
      </c>
      <c r="P184" s="7">
        <v>89.2</v>
      </c>
      <c r="Q184" s="7">
        <f t="shared" si="64"/>
        <v>2.2000000000000011</v>
      </c>
      <c r="R184" s="8">
        <f t="shared" si="73"/>
        <v>25.200000000000003</v>
      </c>
      <c r="V184" s="6"/>
      <c r="W184" s="7">
        <v>12.4</v>
      </c>
      <c r="X184" s="7">
        <v>10.8</v>
      </c>
      <c r="Y184" s="7">
        <v>64</v>
      </c>
      <c r="Z184" s="7">
        <v>88.5</v>
      </c>
      <c r="AA184" s="7">
        <f t="shared" si="66"/>
        <v>1.5999999999999996</v>
      </c>
      <c r="AB184" s="8">
        <f t="shared" si="74"/>
        <v>24.5</v>
      </c>
      <c r="AG184" s="6"/>
      <c r="AH184" s="7">
        <v>12.4</v>
      </c>
      <c r="AI184" s="7"/>
      <c r="AJ184" s="7">
        <v>64</v>
      </c>
      <c r="AK184" s="7"/>
      <c r="AL184" s="7"/>
      <c r="AM184" s="8"/>
      <c r="AR184" s="6"/>
      <c r="AS184" s="7">
        <v>12.4</v>
      </c>
      <c r="AT184" s="7">
        <v>12</v>
      </c>
      <c r="AU184" s="7">
        <v>64</v>
      </c>
      <c r="AV184" s="7">
        <v>63.6</v>
      </c>
      <c r="AW184" s="7">
        <f t="shared" si="78"/>
        <v>0.40000000000000036</v>
      </c>
      <c r="AX184" s="8">
        <f t="shared" si="79"/>
        <v>0.39999999999999858</v>
      </c>
    </row>
    <row r="185" spans="2:50" x14ac:dyDescent="0.25">
      <c r="B185" s="3" t="s">
        <v>110</v>
      </c>
      <c r="C185" s="4">
        <v>15</v>
      </c>
      <c r="D185" s="4">
        <v>14.6</v>
      </c>
      <c r="E185" s="4">
        <v>89</v>
      </c>
      <c r="F185" s="4">
        <v>79.599999999999994</v>
      </c>
      <c r="G185" s="4">
        <f t="shared" si="62"/>
        <v>0.40000000000000036</v>
      </c>
      <c r="H185" s="5">
        <f t="shared" si="77"/>
        <v>9.4000000000000057</v>
      </c>
      <c r="L185" s="3" t="s">
        <v>110</v>
      </c>
      <c r="M185" s="4">
        <v>15</v>
      </c>
      <c r="N185" s="4">
        <v>14.5</v>
      </c>
      <c r="O185" s="4">
        <v>89</v>
      </c>
      <c r="P185" s="4">
        <v>101.6</v>
      </c>
      <c r="Q185" s="4">
        <f t="shared" si="64"/>
        <v>0.5</v>
      </c>
      <c r="R185" s="5">
        <f t="shared" si="73"/>
        <v>12.599999999999994</v>
      </c>
      <c r="V185" s="3" t="s">
        <v>110</v>
      </c>
      <c r="W185" s="4">
        <v>15</v>
      </c>
      <c r="X185" s="4">
        <v>14.1</v>
      </c>
      <c r="Y185" s="4">
        <v>89</v>
      </c>
      <c r="Z185" s="4">
        <v>97.6</v>
      </c>
      <c r="AA185" s="4">
        <f t="shared" si="66"/>
        <v>0.90000000000000036</v>
      </c>
      <c r="AB185" s="5">
        <f t="shared" si="74"/>
        <v>8.5999999999999943</v>
      </c>
      <c r="AG185" s="3" t="s">
        <v>110</v>
      </c>
      <c r="AH185" s="4">
        <v>15</v>
      </c>
      <c r="AI185" s="4"/>
      <c r="AJ185" s="4">
        <v>89</v>
      </c>
      <c r="AK185" s="4"/>
      <c r="AL185" s="4"/>
      <c r="AM185" s="5"/>
      <c r="AR185" s="3" t="s">
        <v>110</v>
      </c>
      <c r="AS185" s="4">
        <v>15</v>
      </c>
      <c r="AT185" s="4">
        <v>14.6</v>
      </c>
      <c r="AU185" s="4">
        <v>89</v>
      </c>
      <c r="AV185" s="4">
        <v>62.6</v>
      </c>
      <c r="AW185" s="4">
        <f t="shared" si="78"/>
        <v>0.40000000000000036</v>
      </c>
      <c r="AX185" s="5">
        <f t="shared" si="79"/>
        <v>26.4</v>
      </c>
    </row>
    <row r="186" spans="2:50" x14ac:dyDescent="0.25">
      <c r="B186" s="12"/>
      <c r="C186">
        <v>12</v>
      </c>
      <c r="D186">
        <v>11.9</v>
      </c>
      <c r="E186">
        <v>94</v>
      </c>
      <c r="F186">
        <v>70.8</v>
      </c>
      <c r="G186">
        <f t="shared" si="62"/>
        <v>9.9999999999999645E-2</v>
      </c>
      <c r="H186" s="13">
        <f>ABS(F186-E186)</f>
        <v>23.200000000000003</v>
      </c>
      <c r="L186" s="12"/>
      <c r="M186">
        <v>12</v>
      </c>
      <c r="N186">
        <v>11.3</v>
      </c>
      <c r="O186">
        <v>94</v>
      </c>
      <c r="P186">
        <v>92.4</v>
      </c>
      <c r="Q186">
        <f t="shared" si="64"/>
        <v>0.69999999999999929</v>
      </c>
      <c r="R186" s="13">
        <f t="shared" si="73"/>
        <v>1.5999999999999943</v>
      </c>
      <c r="V186" s="12"/>
      <c r="W186">
        <v>12</v>
      </c>
      <c r="X186">
        <v>11.7</v>
      </c>
      <c r="Y186">
        <v>94</v>
      </c>
      <c r="Z186">
        <v>90.8</v>
      </c>
      <c r="AA186">
        <f t="shared" si="66"/>
        <v>0.30000000000000071</v>
      </c>
      <c r="AB186" s="13">
        <f t="shared" si="74"/>
        <v>3.2000000000000028</v>
      </c>
      <c r="AG186" s="12"/>
      <c r="AH186">
        <v>12</v>
      </c>
      <c r="AJ186">
        <v>94</v>
      </c>
      <c r="AM186" s="13"/>
      <c r="AR186" s="12"/>
      <c r="AS186">
        <v>12</v>
      </c>
      <c r="AT186">
        <v>11.2</v>
      </c>
      <c r="AU186">
        <v>94</v>
      </c>
      <c r="AV186">
        <v>60.2</v>
      </c>
      <c r="AW186">
        <f t="shared" si="78"/>
        <v>0.80000000000000071</v>
      </c>
      <c r="AX186" s="13">
        <f t="shared" si="79"/>
        <v>33.799999999999997</v>
      </c>
    </row>
    <row r="187" spans="2:50" x14ac:dyDescent="0.25">
      <c r="B187" s="12"/>
      <c r="C187">
        <v>9</v>
      </c>
      <c r="D187">
        <v>8.6999999999999993</v>
      </c>
      <c r="E187">
        <v>71</v>
      </c>
      <c r="F187">
        <v>69.099999999999994</v>
      </c>
      <c r="G187">
        <f t="shared" si="62"/>
        <v>0.30000000000000071</v>
      </c>
      <c r="H187" s="13">
        <f t="shared" si="77"/>
        <v>1.9000000000000057</v>
      </c>
      <c r="L187" s="12"/>
      <c r="M187">
        <v>9</v>
      </c>
      <c r="N187">
        <v>9.4</v>
      </c>
      <c r="O187">
        <v>71</v>
      </c>
      <c r="P187">
        <v>94.4</v>
      </c>
      <c r="Q187">
        <f t="shared" si="64"/>
        <v>0.40000000000000036</v>
      </c>
      <c r="R187" s="13">
        <f t="shared" si="73"/>
        <v>23.400000000000006</v>
      </c>
      <c r="V187" s="12"/>
      <c r="W187">
        <v>9</v>
      </c>
      <c r="X187">
        <v>9.4</v>
      </c>
      <c r="Y187">
        <v>71</v>
      </c>
      <c r="Z187">
        <v>80</v>
      </c>
      <c r="AA187">
        <f t="shared" si="66"/>
        <v>0.40000000000000036</v>
      </c>
      <c r="AB187" s="13">
        <f t="shared" si="74"/>
        <v>9</v>
      </c>
      <c r="AG187" s="12"/>
      <c r="AH187">
        <v>9</v>
      </c>
      <c r="AJ187">
        <v>71</v>
      </c>
      <c r="AM187" s="13"/>
      <c r="AR187" s="12"/>
      <c r="AS187">
        <v>9</v>
      </c>
      <c r="AT187">
        <v>8.8000000000000007</v>
      </c>
      <c r="AU187">
        <v>71</v>
      </c>
      <c r="AV187">
        <v>65.599999999999994</v>
      </c>
      <c r="AW187">
        <f t="shared" si="78"/>
        <v>0.19999999999999929</v>
      </c>
      <c r="AX187" s="13">
        <f t="shared" si="79"/>
        <v>5.4000000000000057</v>
      </c>
    </row>
    <row r="188" spans="2:50" x14ac:dyDescent="0.25">
      <c r="B188" s="6"/>
      <c r="C188" s="7">
        <v>11.9</v>
      </c>
      <c r="D188" s="7">
        <v>10.7</v>
      </c>
      <c r="E188" s="7">
        <v>66</v>
      </c>
      <c r="F188" s="7">
        <v>68.8</v>
      </c>
      <c r="G188" s="7">
        <f>ABS(C188-D188)</f>
        <v>1.2000000000000011</v>
      </c>
      <c r="H188" s="8">
        <f t="shared" si="77"/>
        <v>2.7999999999999972</v>
      </c>
      <c r="L188" s="6"/>
      <c r="M188" s="7">
        <v>11.9</v>
      </c>
      <c r="N188" s="7">
        <v>10.3</v>
      </c>
      <c r="O188" s="7">
        <v>66</v>
      </c>
      <c r="P188" s="7">
        <v>49.2</v>
      </c>
      <c r="Q188" s="7">
        <f t="shared" si="64"/>
        <v>1.5999999999999996</v>
      </c>
      <c r="R188" s="8">
        <f t="shared" si="73"/>
        <v>16.799999999999997</v>
      </c>
      <c r="V188" s="6"/>
      <c r="W188" s="7">
        <v>11.9</v>
      </c>
      <c r="X188" s="7">
        <v>11.4</v>
      </c>
      <c r="Y188" s="7">
        <v>66</v>
      </c>
      <c r="Z188" s="7">
        <v>82.9</v>
      </c>
      <c r="AA188" s="7">
        <f t="shared" si="66"/>
        <v>0.5</v>
      </c>
      <c r="AB188" s="8">
        <f t="shared" si="74"/>
        <v>16.900000000000006</v>
      </c>
      <c r="AG188" s="6"/>
      <c r="AH188" s="7">
        <v>11.9</v>
      </c>
      <c r="AI188" s="7"/>
      <c r="AJ188" s="7">
        <v>66</v>
      </c>
      <c r="AK188" s="7"/>
      <c r="AL188" s="7"/>
      <c r="AM188" s="8"/>
      <c r="AR188" s="6"/>
      <c r="AS188" s="7">
        <v>11.9</v>
      </c>
      <c r="AT188" s="7">
        <v>11.9</v>
      </c>
      <c r="AU188" s="7">
        <v>66</v>
      </c>
      <c r="AV188" s="7">
        <v>64.2</v>
      </c>
      <c r="AW188" s="7">
        <f t="shared" si="78"/>
        <v>0</v>
      </c>
      <c r="AX188" s="8">
        <f t="shared" si="79"/>
        <v>1.7999999999999972</v>
      </c>
    </row>
    <row r="189" spans="2:50" x14ac:dyDescent="0.25">
      <c r="G189">
        <f>AVERAGE(G2:G188)</f>
        <v>0.70374331550802149</v>
      </c>
      <c r="H189">
        <f>AVERAGE(H2:H188)</f>
        <v>18.144385026737957</v>
      </c>
      <c r="Q189">
        <f>AVERAGE(Q2:Q188)</f>
        <v>0.72780748663101569</v>
      </c>
      <c r="R189">
        <f>AVERAGE(R2:R188)</f>
        <v>20.109625668449201</v>
      </c>
      <c r="AA189">
        <f>AVERAGE(AA2:AA188)</f>
        <v>0.94545454545454566</v>
      </c>
      <c r="AB189">
        <f>AVERAGE(AB2:AB188)</f>
        <v>10.891978609625667</v>
      </c>
      <c r="AW189">
        <f>AVERAGE(AW2:AW188)</f>
        <v>0.67593582887700521</v>
      </c>
      <c r="AX189">
        <f>AVERAGE(AX2:AX188)</f>
        <v>18.891443850267397</v>
      </c>
    </row>
    <row r="191" spans="2:50" x14ac:dyDescent="0.25">
      <c r="C191" s="1" t="s">
        <v>112</v>
      </c>
      <c r="D191" s="1" t="s">
        <v>113</v>
      </c>
      <c r="E191" s="1" t="s">
        <v>124</v>
      </c>
      <c r="M191" s="1" t="s">
        <v>112</v>
      </c>
      <c r="N191" s="1" t="s">
        <v>113</v>
      </c>
      <c r="O191" s="1" t="s">
        <v>124</v>
      </c>
      <c r="W191" s="1" t="s">
        <v>112</v>
      </c>
      <c r="X191" s="1" t="s">
        <v>113</v>
      </c>
      <c r="Y191" s="1" t="s">
        <v>124</v>
      </c>
      <c r="AH191" s="1" t="s">
        <v>112</v>
      </c>
      <c r="AI191" s="1" t="s">
        <v>113</v>
      </c>
      <c r="AJ191" s="1" t="s">
        <v>124</v>
      </c>
      <c r="AS191" s="1" t="s">
        <v>112</v>
      </c>
      <c r="AT191" s="1" t="s">
        <v>113</v>
      </c>
      <c r="AU191" s="1" t="s">
        <v>124</v>
      </c>
    </row>
    <row r="192" spans="2:50" x14ac:dyDescent="0.25">
      <c r="B192" t="s">
        <v>114</v>
      </c>
      <c r="C192">
        <v>90</v>
      </c>
      <c r="D192">
        <v>89.1</v>
      </c>
      <c r="E192">
        <f>ABS(C192-D192)</f>
        <v>0.90000000000000568</v>
      </c>
      <c r="L192" t="s">
        <v>114</v>
      </c>
      <c r="M192">
        <v>90</v>
      </c>
      <c r="N192">
        <v>91.6</v>
      </c>
      <c r="O192">
        <f>ABS(M192-N192)</f>
        <v>1.5999999999999943</v>
      </c>
      <c r="V192" t="s">
        <v>114</v>
      </c>
      <c r="W192">
        <v>90</v>
      </c>
      <c r="X192">
        <v>89.6</v>
      </c>
      <c r="Y192">
        <f>ABS(W192-X192)</f>
        <v>0.40000000000000568</v>
      </c>
      <c r="AG192" t="s">
        <v>114</v>
      </c>
      <c r="AH192">
        <v>90</v>
      </c>
      <c r="AI192">
        <v>89.5</v>
      </c>
      <c r="AJ192">
        <f>ABS(AH192-AI192)</f>
        <v>0.5</v>
      </c>
      <c r="AR192" t="s">
        <v>114</v>
      </c>
      <c r="AS192">
        <v>90</v>
      </c>
      <c r="AT192">
        <v>91.7</v>
      </c>
      <c r="AU192">
        <f>ABS(AS192-AT192)</f>
        <v>1.7000000000000028</v>
      </c>
    </row>
    <row r="193" spans="2:47" x14ac:dyDescent="0.25">
      <c r="B193" t="s">
        <v>115</v>
      </c>
      <c r="C193">
        <v>92</v>
      </c>
      <c r="D193">
        <v>71.2</v>
      </c>
      <c r="E193">
        <f t="shared" ref="E193:E201" si="80">ABS(C193-D193)</f>
        <v>20.799999999999997</v>
      </c>
      <c r="L193" t="s">
        <v>115</v>
      </c>
      <c r="M193">
        <v>92</v>
      </c>
      <c r="N193">
        <v>91.6</v>
      </c>
      <c r="O193">
        <f t="shared" ref="O193:O201" si="81">ABS(M193-N193)</f>
        <v>0.40000000000000568</v>
      </c>
      <c r="V193" t="s">
        <v>115</v>
      </c>
      <c r="W193">
        <v>92</v>
      </c>
      <c r="X193">
        <v>91.4</v>
      </c>
      <c r="Y193">
        <f t="shared" ref="Y193:Y201" si="82">ABS(W193-X193)</f>
        <v>0.59999999999999432</v>
      </c>
      <c r="AG193" t="s">
        <v>115</v>
      </c>
      <c r="AH193">
        <v>92</v>
      </c>
      <c r="AI193">
        <v>195.2</v>
      </c>
      <c r="AJ193">
        <f t="shared" ref="AJ193:AJ201" si="83">ABS(AH193-AI193)</f>
        <v>103.19999999999999</v>
      </c>
      <c r="AR193" t="s">
        <v>115</v>
      </c>
      <c r="AS193">
        <v>92</v>
      </c>
      <c r="AT193">
        <v>84.8</v>
      </c>
      <c r="AU193">
        <f t="shared" ref="AU193:AU201" si="84">ABS(AS193-AT193)</f>
        <v>7.2000000000000028</v>
      </c>
    </row>
    <row r="194" spans="2:47" x14ac:dyDescent="0.25">
      <c r="B194" t="s">
        <v>116</v>
      </c>
      <c r="C194">
        <v>70</v>
      </c>
      <c r="D194">
        <v>71.3</v>
      </c>
      <c r="E194">
        <f t="shared" si="80"/>
        <v>1.2999999999999972</v>
      </c>
      <c r="L194" t="s">
        <v>116</v>
      </c>
      <c r="M194">
        <v>70</v>
      </c>
      <c r="N194">
        <v>71.599999999999994</v>
      </c>
      <c r="O194">
        <f t="shared" si="81"/>
        <v>1.5999999999999943</v>
      </c>
      <c r="V194" t="s">
        <v>116</v>
      </c>
      <c r="W194">
        <v>70</v>
      </c>
      <c r="X194">
        <v>78.8</v>
      </c>
      <c r="Y194">
        <f t="shared" si="82"/>
        <v>8.7999999999999972</v>
      </c>
      <c r="AG194" t="s">
        <v>116</v>
      </c>
      <c r="AH194">
        <v>70</v>
      </c>
      <c r="AI194">
        <v>70.900000000000006</v>
      </c>
      <c r="AJ194">
        <f t="shared" si="83"/>
        <v>0.90000000000000568</v>
      </c>
      <c r="AR194" t="s">
        <v>116</v>
      </c>
      <c r="AS194">
        <v>70</v>
      </c>
      <c r="AT194">
        <v>71.599999999999994</v>
      </c>
      <c r="AU194">
        <f t="shared" si="84"/>
        <v>1.5999999999999943</v>
      </c>
    </row>
    <row r="195" spans="2:47" x14ac:dyDescent="0.25">
      <c r="B195" t="s">
        <v>117</v>
      </c>
      <c r="C195">
        <v>104</v>
      </c>
      <c r="D195">
        <v>94.2</v>
      </c>
      <c r="E195">
        <f t="shared" si="80"/>
        <v>9.7999999999999972</v>
      </c>
      <c r="L195" t="s">
        <v>117</v>
      </c>
      <c r="M195">
        <v>104</v>
      </c>
      <c r="N195">
        <v>101.6</v>
      </c>
      <c r="O195">
        <f t="shared" si="81"/>
        <v>2.4000000000000057</v>
      </c>
      <c r="V195" t="s">
        <v>117</v>
      </c>
      <c r="W195">
        <v>104</v>
      </c>
      <c r="X195">
        <v>103.1</v>
      </c>
      <c r="Y195">
        <f t="shared" si="82"/>
        <v>0.90000000000000568</v>
      </c>
      <c r="AG195" t="s">
        <v>117</v>
      </c>
      <c r="AH195">
        <v>104</v>
      </c>
      <c r="AI195">
        <v>103.3</v>
      </c>
      <c r="AJ195">
        <f t="shared" si="83"/>
        <v>0.70000000000000284</v>
      </c>
      <c r="AR195" t="s">
        <v>117</v>
      </c>
      <c r="AS195">
        <v>104</v>
      </c>
      <c r="AT195">
        <v>103.2</v>
      </c>
      <c r="AU195">
        <f t="shared" si="84"/>
        <v>0.79999999999999716</v>
      </c>
    </row>
    <row r="196" spans="2:47" x14ac:dyDescent="0.25">
      <c r="B196" t="s">
        <v>118</v>
      </c>
      <c r="C196">
        <v>98</v>
      </c>
      <c r="D196">
        <v>94.9</v>
      </c>
      <c r="E196">
        <f t="shared" si="80"/>
        <v>3.0999999999999943</v>
      </c>
      <c r="L196" t="s">
        <v>118</v>
      </c>
      <c r="M196">
        <v>98</v>
      </c>
      <c r="N196">
        <v>98</v>
      </c>
      <c r="O196">
        <f t="shared" si="81"/>
        <v>0</v>
      </c>
      <c r="V196" t="s">
        <v>118</v>
      </c>
      <c r="W196">
        <v>98</v>
      </c>
      <c r="X196">
        <v>98.4</v>
      </c>
      <c r="Y196">
        <f t="shared" si="82"/>
        <v>0.40000000000000568</v>
      </c>
      <c r="AG196" t="s">
        <v>118</v>
      </c>
      <c r="AH196">
        <v>98</v>
      </c>
      <c r="AI196">
        <v>97.9</v>
      </c>
      <c r="AJ196">
        <f t="shared" si="83"/>
        <v>9.9999999999994316E-2</v>
      </c>
      <c r="AR196" t="s">
        <v>118</v>
      </c>
      <c r="AS196">
        <v>98</v>
      </c>
      <c r="AT196">
        <v>98</v>
      </c>
      <c r="AU196">
        <f t="shared" si="84"/>
        <v>0</v>
      </c>
    </row>
    <row r="197" spans="2:47" x14ac:dyDescent="0.25">
      <c r="B197" t="s">
        <v>119</v>
      </c>
      <c r="C197">
        <v>96</v>
      </c>
      <c r="D197">
        <v>92.7</v>
      </c>
      <c r="E197">
        <f t="shared" si="80"/>
        <v>3.2999999999999972</v>
      </c>
      <c r="L197" t="s">
        <v>119</v>
      </c>
      <c r="M197">
        <v>96</v>
      </c>
      <c r="N197">
        <v>99.2</v>
      </c>
      <c r="O197">
        <f t="shared" si="81"/>
        <v>3.2000000000000028</v>
      </c>
      <c r="V197" t="s">
        <v>119</v>
      </c>
      <c r="W197">
        <v>96</v>
      </c>
      <c r="X197">
        <v>96.1</v>
      </c>
      <c r="Y197">
        <f t="shared" si="82"/>
        <v>9.9999999999994316E-2</v>
      </c>
      <c r="AG197" t="s">
        <v>119</v>
      </c>
      <c r="AH197">
        <v>96</v>
      </c>
      <c r="AI197">
        <v>61.5</v>
      </c>
      <c r="AJ197">
        <f t="shared" si="83"/>
        <v>34.5</v>
      </c>
      <c r="AR197" t="s">
        <v>119</v>
      </c>
      <c r="AS197">
        <v>96</v>
      </c>
      <c r="AT197">
        <v>72.5</v>
      </c>
      <c r="AU197">
        <f t="shared" si="84"/>
        <v>23.5</v>
      </c>
    </row>
    <row r="198" spans="2:47" x14ac:dyDescent="0.25">
      <c r="B198" t="s">
        <v>120</v>
      </c>
      <c r="C198">
        <v>76</v>
      </c>
      <c r="D198">
        <v>73.900000000000006</v>
      </c>
      <c r="E198">
        <f t="shared" si="80"/>
        <v>2.0999999999999943</v>
      </c>
      <c r="L198" t="s">
        <v>120</v>
      </c>
      <c r="M198">
        <v>76</v>
      </c>
      <c r="N198">
        <v>73.599999999999994</v>
      </c>
      <c r="O198">
        <f t="shared" si="81"/>
        <v>2.4000000000000057</v>
      </c>
      <c r="V198" t="s">
        <v>120</v>
      </c>
      <c r="W198">
        <v>76</v>
      </c>
      <c r="X198">
        <v>76.5</v>
      </c>
      <c r="Y198">
        <f t="shared" si="82"/>
        <v>0.5</v>
      </c>
      <c r="AG198" t="s">
        <v>120</v>
      </c>
      <c r="AH198">
        <v>76</v>
      </c>
      <c r="AI198">
        <v>70.900000000000006</v>
      </c>
      <c r="AJ198">
        <f t="shared" si="83"/>
        <v>5.0999999999999943</v>
      </c>
      <c r="AR198" t="s">
        <v>120</v>
      </c>
      <c r="AS198">
        <v>76</v>
      </c>
      <c r="AT198">
        <v>73.599999999999994</v>
      </c>
      <c r="AU198">
        <f t="shared" si="84"/>
        <v>2.4000000000000057</v>
      </c>
    </row>
    <row r="199" spans="2:47" x14ac:dyDescent="0.25">
      <c r="B199" t="s">
        <v>121</v>
      </c>
      <c r="C199">
        <v>75</v>
      </c>
      <c r="D199">
        <v>73.400000000000006</v>
      </c>
      <c r="E199">
        <f t="shared" si="80"/>
        <v>1.5999999999999943</v>
      </c>
      <c r="L199" t="s">
        <v>121</v>
      </c>
      <c r="M199">
        <v>75</v>
      </c>
      <c r="N199">
        <v>75.599999999999994</v>
      </c>
      <c r="O199">
        <f t="shared" si="81"/>
        <v>0.59999999999999432</v>
      </c>
      <c r="V199" t="s">
        <v>121</v>
      </c>
      <c r="W199">
        <v>75</v>
      </c>
      <c r="X199">
        <v>75.900000000000006</v>
      </c>
      <c r="Y199">
        <f t="shared" si="82"/>
        <v>0.90000000000000568</v>
      </c>
      <c r="AG199" t="s">
        <v>121</v>
      </c>
      <c r="AH199">
        <v>75</v>
      </c>
      <c r="AI199">
        <v>73.3</v>
      </c>
      <c r="AJ199">
        <f t="shared" si="83"/>
        <v>1.7000000000000028</v>
      </c>
      <c r="AR199" t="s">
        <v>121</v>
      </c>
      <c r="AS199">
        <v>75</v>
      </c>
      <c r="AT199">
        <v>67.2</v>
      </c>
      <c r="AU199">
        <f t="shared" si="84"/>
        <v>7.7999999999999972</v>
      </c>
    </row>
    <row r="200" spans="2:47" x14ac:dyDescent="0.25">
      <c r="B200" t="s">
        <v>122</v>
      </c>
      <c r="C200">
        <v>71</v>
      </c>
      <c r="D200">
        <v>67.5</v>
      </c>
      <c r="E200">
        <f t="shared" si="80"/>
        <v>3.5</v>
      </c>
      <c r="L200" t="s">
        <v>122</v>
      </c>
      <c r="M200">
        <v>71</v>
      </c>
      <c r="N200">
        <v>67.599999999999994</v>
      </c>
      <c r="O200">
        <f t="shared" si="81"/>
        <v>3.4000000000000057</v>
      </c>
      <c r="V200" t="s">
        <v>122</v>
      </c>
      <c r="W200">
        <v>71</v>
      </c>
      <c r="X200">
        <v>83.5</v>
      </c>
      <c r="Y200">
        <f t="shared" si="82"/>
        <v>12.5</v>
      </c>
      <c r="AG200" t="s">
        <v>122</v>
      </c>
      <c r="AH200">
        <v>71</v>
      </c>
      <c r="AI200">
        <v>67.3</v>
      </c>
      <c r="AJ200">
        <f t="shared" si="83"/>
        <v>3.7000000000000028</v>
      </c>
      <c r="AR200" t="s">
        <v>122</v>
      </c>
      <c r="AS200">
        <v>71</v>
      </c>
      <c r="AT200">
        <v>67.599999999999994</v>
      </c>
      <c r="AU200">
        <f t="shared" si="84"/>
        <v>3.4000000000000057</v>
      </c>
    </row>
    <row r="201" spans="2:47" x14ac:dyDescent="0.25">
      <c r="B201" t="s">
        <v>123</v>
      </c>
      <c r="C201">
        <v>68</v>
      </c>
      <c r="D201">
        <v>70</v>
      </c>
      <c r="E201">
        <f t="shared" si="80"/>
        <v>2</v>
      </c>
      <c r="L201" t="s">
        <v>123</v>
      </c>
      <c r="M201">
        <v>68</v>
      </c>
      <c r="N201">
        <v>70</v>
      </c>
      <c r="O201">
        <f t="shared" si="81"/>
        <v>2</v>
      </c>
      <c r="V201" t="s">
        <v>123</v>
      </c>
      <c r="W201">
        <v>68</v>
      </c>
      <c r="X201">
        <v>79.599999999999994</v>
      </c>
      <c r="Y201">
        <f t="shared" si="82"/>
        <v>11.599999999999994</v>
      </c>
      <c r="AG201" t="s">
        <v>123</v>
      </c>
      <c r="AH201">
        <v>68</v>
      </c>
      <c r="AI201">
        <v>70.3</v>
      </c>
      <c r="AJ201">
        <f t="shared" si="83"/>
        <v>2.2999999999999972</v>
      </c>
      <c r="AR201" t="s">
        <v>123</v>
      </c>
      <c r="AS201">
        <v>68</v>
      </c>
      <c r="AT201">
        <v>69.3</v>
      </c>
      <c r="AU201">
        <f t="shared" si="84"/>
        <v>1.2999999999999972</v>
      </c>
    </row>
    <row r="202" spans="2:47" x14ac:dyDescent="0.25">
      <c r="E202">
        <f>AVERAGE(E192:E201)</f>
        <v>4.8399999999999981</v>
      </c>
      <c r="O202">
        <f>AVERAGE(O192:O201)</f>
        <v>1.7600000000000009</v>
      </c>
      <c r="Y202">
        <f>AVERAGE(Y192:Y201)</f>
        <v>3.6700000000000004</v>
      </c>
      <c r="AJ202">
        <f>AVERAGE(AJ192:AJ201)</f>
        <v>15.27</v>
      </c>
      <c r="AU202">
        <f>AVERAGE(AU192:AU201)</f>
        <v>4.9700000000000006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2026-04-06T12:00:04Z</dcterms:modified>
</cp:coreProperties>
</file>