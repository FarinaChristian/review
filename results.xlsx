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13_ncr:1_{BCD4FBBE-0991-4861-81E2-C5E92B6B8A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6" i="1" l="1"/>
  <c r="AX45" i="1" l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H45" i="1" l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AX25" i="1" l="1"/>
  <c r="AW25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W46" i="1" l="1"/>
  <c r="AX46" i="1"/>
  <c r="AM13" i="1"/>
  <c r="AL13" i="1"/>
  <c r="H13" i="1"/>
  <c r="G13" i="1"/>
  <c r="R13" i="1"/>
  <c r="Q13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Q14" i="1"/>
  <c r="R14" i="1"/>
  <c r="Q15" i="1"/>
  <c r="R15" i="1"/>
  <c r="AB13" i="1"/>
  <c r="AA13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M15" i="1"/>
  <c r="AL15" i="1"/>
  <c r="AM14" i="1"/>
  <c r="AL1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15" i="1"/>
  <c r="AA15" i="1"/>
  <c r="AB14" i="1"/>
  <c r="AA1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14" i="1"/>
  <c r="H15" i="1"/>
  <c r="G3" i="1"/>
  <c r="G4" i="1"/>
  <c r="G5" i="1"/>
  <c r="G14" i="1"/>
  <c r="G15" i="1"/>
  <c r="H2" i="1"/>
  <c r="G2" i="1"/>
  <c r="G46" i="1" l="1"/>
  <c r="H46" i="1"/>
  <c r="AA46" i="1"/>
  <c r="AB46" i="1"/>
  <c r="R46" i="1"/>
  <c r="Q46" i="1"/>
</calcChain>
</file>

<file path=xl/sharedStrings.xml><?xml version="1.0" encoding="utf-8"?>
<sst xmlns="http://schemas.openxmlformats.org/spreadsheetml/2006/main" count="165" uniqueCount="38">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</sst>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2" borderId="9" xfId="0" applyFill="1" applyBorder="1"/>
    <xf numFmtId="0" fontId="0" fillId="0" borderId="0" xfId="0" applyFill="1" applyBorder="1"/>
    <xf numFmtId="0" fontId="0" fillId="0" borderId="0" xfId="0" applyBorder="1"/>
    <xf numFmtId="0" fontId="0" fillId="0" borderId="12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6"/>
  <sheetViews>
    <sheetView tabSelected="1" topLeftCell="AC16" zoomScale="115" zoomScaleNormal="115" workbookViewId="0">
      <selection activeCell="AM46" sqref="AM46"/>
    </sheetView>
  </sheetViews>
  <sheetFormatPr defaultRowHeight="15" x14ac:dyDescent="0.25"/>
  <cols>
    <col min="1" max="1" width="18.85546875" customWidth="1"/>
    <col min="2" max="2" width="28.7109375" customWidth="1"/>
    <col min="8" max="8" width="10.5703125" customWidth="1"/>
    <col min="9" max="9" width="11.28515625" customWidth="1"/>
    <col min="11" max="11" width="17.42578125" customWidth="1"/>
    <col min="12" max="12" width="28.85546875" customWidth="1"/>
    <col min="18" max="18" width="12" bestFit="1" customWidth="1"/>
    <col min="21" max="21" width="16" customWidth="1"/>
    <col min="22" max="22" width="29" customWidth="1"/>
    <col min="24" max="24" width="11.140625" bestFit="1" customWidth="1"/>
    <col min="32" max="32" width="8" customWidth="1"/>
    <col min="33" max="33" width="28.5703125" customWidth="1"/>
    <col min="35" max="35" width="10.28515625" customWidth="1"/>
    <col min="43" max="43" width="18.5703125" customWidth="1"/>
    <col min="44" max="44" width="28.1406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23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115.3</v>
      </c>
      <c r="AA3" s="9">
        <f t="shared" ref="AA3:AA12" si="4">ABS(W3-X3)</f>
        <v>1.8000000000000007</v>
      </c>
      <c r="AB3" s="10">
        <f t="shared" ref="AB3:AB12" si="5">ABS(Y3-Z3)</f>
        <v>44.3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101.7</v>
      </c>
      <c r="AA4" s="9">
        <f t="shared" si="4"/>
        <v>0.39999999999999858</v>
      </c>
      <c r="AB4" s="10">
        <f t="shared" si="5"/>
        <v>1.7000000000000028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93.75</v>
      </c>
      <c r="AA5" s="9">
        <f t="shared" si="4"/>
        <v>0.80000000000000071</v>
      </c>
      <c r="AB5" s="10">
        <f t="shared" si="5"/>
        <v>29.75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104</v>
      </c>
      <c r="AA6" s="9">
        <f t="shared" si="4"/>
        <v>0.40000000000000036</v>
      </c>
      <c r="AB6" s="10">
        <f t="shared" si="5"/>
        <v>3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16">
        <v>2.9</v>
      </c>
      <c r="Y7" s="9">
        <v>108</v>
      </c>
      <c r="Z7" s="9">
        <v>109.8</v>
      </c>
      <c r="AA7" s="17">
        <f t="shared" si="4"/>
        <v>18.900000000000002</v>
      </c>
      <c r="AB7" s="10">
        <f t="shared" si="5"/>
        <v>1.7999999999999972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1.4</v>
      </c>
      <c r="Y8" s="9">
        <v>110</v>
      </c>
      <c r="Z8" s="9">
        <v>111.3</v>
      </c>
      <c r="AA8" s="17">
        <f t="shared" si="4"/>
        <v>23.1</v>
      </c>
      <c r="AB8" s="10">
        <f t="shared" si="5"/>
        <v>1.2999999999999972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101</v>
      </c>
      <c r="AA9" s="9">
        <f t="shared" si="4"/>
        <v>1.5</v>
      </c>
      <c r="AB9" s="10">
        <f t="shared" si="5"/>
        <v>12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107.1</v>
      </c>
      <c r="AA10" s="9">
        <f t="shared" si="4"/>
        <v>0.60000000000000142</v>
      </c>
      <c r="AB10" s="10">
        <f t="shared" si="5"/>
        <v>2.9000000000000057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102.5</v>
      </c>
      <c r="AA11" s="9">
        <f t="shared" si="4"/>
        <v>0.5</v>
      </c>
      <c r="AB11" s="10">
        <f t="shared" si="5"/>
        <v>0.5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</v>
      </c>
      <c r="Y12" s="9">
        <v>104</v>
      </c>
      <c r="Z12" s="9">
        <v>102.5</v>
      </c>
      <c r="AA12" s="9">
        <f t="shared" si="4"/>
        <v>0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108.4</v>
      </c>
      <c r="AA13" s="9">
        <f>ABS(W13-X13)</f>
        <v>1.1999999999999993</v>
      </c>
      <c r="AB13" s="10">
        <f>ABS(Y13-Z13)</f>
        <v>18.400000000000006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2" t="s">
        <v>4</v>
      </c>
      <c r="C14">
        <v>12</v>
      </c>
      <c r="D14">
        <v>11</v>
      </c>
      <c r="E14">
        <v>67</v>
      </c>
      <c r="F14">
        <v>69</v>
      </c>
      <c r="G14">
        <f>ABS(C14-D14)</f>
        <v>1</v>
      </c>
      <c r="H14" s="13">
        <f>ABS(E14-F14)</f>
        <v>2</v>
      </c>
      <c r="L14" s="12" t="s">
        <v>4</v>
      </c>
      <c r="M14">
        <v>12</v>
      </c>
      <c r="N14">
        <v>11.7</v>
      </c>
      <c r="O14">
        <v>67</v>
      </c>
      <c r="P14">
        <v>50</v>
      </c>
      <c r="Q14">
        <f>ABS(M14-N14)</f>
        <v>0.30000000000000071</v>
      </c>
      <c r="R14" s="13">
        <f>ABS(O14-P14)</f>
        <v>17</v>
      </c>
      <c r="V14" s="12" t="s">
        <v>4</v>
      </c>
      <c r="W14">
        <v>12</v>
      </c>
      <c r="X14">
        <v>11.7</v>
      </c>
      <c r="Y14">
        <v>67</v>
      </c>
      <c r="Z14">
        <v>110.3</v>
      </c>
      <c r="AA14">
        <f>ABS(W14-X14)</f>
        <v>0.30000000000000071</v>
      </c>
      <c r="AB14" s="13">
        <f>ABS(Y14-Z14)</f>
        <v>43.3</v>
      </c>
      <c r="AG14" s="12" t="s">
        <v>4</v>
      </c>
      <c r="AH14">
        <v>12</v>
      </c>
      <c r="AJ14">
        <v>67</v>
      </c>
      <c r="AK14">
        <v>69.7</v>
      </c>
      <c r="AL14">
        <f>ABS(AH14-AI14)</f>
        <v>12</v>
      </c>
      <c r="AM14" s="13">
        <f>ABS(AJ14-AK14)</f>
        <v>2.7000000000000028</v>
      </c>
      <c r="AQ14" s="2"/>
      <c r="AR14" s="12" t="s">
        <v>4</v>
      </c>
      <c r="AS14">
        <v>12</v>
      </c>
      <c r="AT14">
        <v>11.5</v>
      </c>
      <c r="AU14">
        <v>67</v>
      </c>
      <c r="AV14">
        <v>70</v>
      </c>
      <c r="AW14">
        <f>ABS(AS14-AT14)</f>
        <v>0.5</v>
      </c>
      <c r="AX14" s="13">
        <f>ABS(AU14-AV14)</f>
        <v>3</v>
      </c>
    </row>
    <row r="15" spans="1:50" x14ac:dyDescent="0.25">
      <c r="B15" s="6"/>
      <c r="C15" s="7">
        <v>16.5</v>
      </c>
      <c r="D15" s="7">
        <v>16.5</v>
      </c>
      <c r="E15" s="7">
        <v>105</v>
      </c>
      <c r="F15" s="7">
        <v>116.8</v>
      </c>
      <c r="G15" s="7">
        <f>ABS(C15-D15)</f>
        <v>0</v>
      </c>
      <c r="H15" s="8">
        <f>ABS(E15-F15)</f>
        <v>11.799999999999997</v>
      </c>
      <c r="L15" s="6"/>
      <c r="M15" s="7">
        <v>16.5</v>
      </c>
      <c r="N15" s="7">
        <v>16.7</v>
      </c>
      <c r="O15" s="7">
        <v>105</v>
      </c>
      <c r="P15" s="7">
        <v>61</v>
      </c>
      <c r="Q15" s="7">
        <f>ABS(M15-N15)</f>
        <v>0.19999999999999929</v>
      </c>
      <c r="R15" s="8">
        <f>ABS(O15-P15)</f>
        <v>44</v>
      </c>
      <c r="V15" s="6"/>
      <c r="W15" s="7">
        <v>16.5</v>
      </c>
      <c r="X15" s="7">
        <v>16.100000000000001</v>
      </c>
      <c r="Y15" s="7">
        <v>105</v>
      </c>
      <c r="Z15" s="7">
        <v>102</v>
      </c>
      <c r="AA15" s="7">
        <f>ABS(W15-X15)</f>
        <v>0.39999999999999858</v>
      </c>
      <c r="AB15" s="8">
        <f>ABS(Y15-Z15)</f>
        <v>3</v>
      </c>
      <c r="AG15" s="6"/>
      <c r="AH15" s="7">
        <v>16.5</v>
      </c>
      <c r="AI15" s="7"/>
      <c r="AJ15" s="7">
        <v>105</v>
      </c>
      <c r="AK15" s="7">
        <v>90</v>
      </c>
      <c r="AL15" s="7">
        <f>ABS(AH15-AI15)</f>
        <v>16.5</v>
      </c>
      <c r="AM15" s="8">
        <f>ABS(AJ15-AK15)</f>
        <v>15</v>
      </c>
      <c r="AR15" s="6"/>
      <c r="AS15" s="7">
        <v>16.5</v>
      </c>
      <c r="AT15" s="7">
        <v>16.3</v>
      </c>
      <c r="AU15" s="7">
        <v>105</v>
      </c>
      <c r="AV15" s="7">
        <v>93</v>
      </c>
      <c r="AW15" s="7">
        <f>ABS(AS15-AT15)</f>
        <v>0.19999999999999929</v>
      </c>
      <c r="AX15" s="8">
        <f>ABS(AU15-AV15)</f>
        <v>12</v>
      </c>
    </row>
    <row r="16" spans="1:50" x14ac:dyDescent="0.25">
      <c r="B16" s="3" t="s">
        <v>25</v>
      </c>
      <c r="C16" s="4">
        <v>14</v>
      </c>
      <c r="D16" s="4">
        <v>14</v>
      </c>
      <c r="E16" s="4">
        <v>75</v>
      </c>
      <c r="F16" s="4">
        <v>80</v>
      </c>
      <c r="G16" s="4">
        <f>ABS(C16-D16)</f>
        <v>0</v>
      </c>
      <c r="H16" s="5">
        <f t="shared" ref="H16:H45" si="10">ABS(E16-F16)</f>
        <v>5</v>
      </c>
      <c r="L16" s="3" t="s">
        <v>25</v>
      </c>
      <c r="M16" s="4">
        <v>14</v>
      </c>
      <c r="N16" s="4">
        <v>13.2</v>
      </c>
      <c r="O16" s="4">
        <v>75</v>
      </c>
      <c r="P16" s="4">
        <v>50.5</v>
      </c>
      <c r="Q16" s="4">
        <f>ABS(M16-N16)</f>
        <v>0.80000000000000071</v>
      </c>
      <c r="R16" s="5">
        <f t="shared" ref="R16:R45" si="11">ABS(O16-P16)</f>
        <v>24.5</v>
      </c>
      <c r="V16" s="3" t="s">
        <v>25</v>
      </c>
      <c r="W16" s="4">
        <v>14</v>
      </c>
      <c r="X16" s="4">
        <v>13.9</v>
      </c>
      <c r="Y16" s="4">
        <v>75</v>
      </c>
      <c r="Z16" s="4">
        <v>102</v>
      </c>
      <c r="AA16" s="4">
        <f>ABS(W16-X16)</f>
        <v>9.9999999999999645E-2</v>
      </c>
      <c r="AB16" s="5">
        <f t="shared" ref="AB16:AB45" si="12">ABS(Y16-Z16)</f>
        <v>27</v>
      </c>
      <c r="AG16" s="3" t="s">
        <v>25</v>
      </c>
      <c r="AH16" s="4">
        <v>14</v>
      </c>
      <c r="AI16" s="4"/>
      <c r="AJ16" s="4">
        <v>75</v>
      </c>
      <c r="AK16" s="4">
        <v>70.3</v>
      </c>
      <c r="AL16" s="4">
        <f>ABS(AH16-AI16)</f>
        <v>14</v>
      </c>
      <c r="AM16" s="5">
        <f t="shared" ref="AM16:AM45" si="13">ABS(AJ16-AK16)</f>
        <v>4.7000000000000028</v>
      </c>
      <c r="AR16" s="3" t="s">
        <v>25</v>
      </c>
      <c r="AS16" s="4">
        <v>14</v>
      </c>
      <c r="AT16" s="4">
        <v>14.5</v>
      </c>
      <c r="AU16" s="4">
        <v>75</v>
      </c>
      <c r="AV16" s="4">
        <v>67.3</v>
      </c>
      <c r="AW16" s="4">
        <f>ABS(AS16-AT16)</f>
        <v>0.5</v>
      </c>
      <c r="AX16" s="5">
        <f t="shared" ref="AX16:AX45" si="14">ABS(AU16-AV16)</f>
        <v>7.7000000000000028</v>
      </c>
    </row>
    <row r="17" spans="2:50" x14ac:dyDescent="0.25">
      <c r="B17" s="6"/>
      <c r="C17" s="7">
        <v>20.5</v>
      </c>
      <c r="D17" s="7">
        <v>20.5</v>
      </c>
      <c r="E17" s="7">
        <v>105</v>
      </c>
      <c r="F17" s="7">
        <v>114</v>
      </c>
      <c r="G17" s="7">
        <f>ABS(C17-D17)</f>
        <v>0</v>
      </c>
      <c r="H17" s="8">
        <f t="shared" si="10"/>
        <v>9</v>
      </c>
      <c r="L17" s="6"/>
      <c r="M17" s="7">
        <v>20.5</v>
      </c>
      <c r="N17" s="7">
        <v>21</v>
      </c>
      <c r="O17" s="7">
        <v>105</v>
      </c>
      <c r="P17" s="7">
        <v>48.5</v>
      </c>
      <c r="Q17" s="7">
        <f>ABS(M17-N17)</f>
        <v>0.5</v>
      </c>
      <c r="R17" s="8">
        <f t="shared" si="11"/>
        <v>56.5</v>
      </c>
      <c r="V17" s="6"/>
      <c r="W17" s="7">
        <v>20.5</v>
      </c>
      <c r="X17" s="7">
        <v>20.5</v>
      </c>
      <c r="Y17" s="7">
        <v>105</v>
      </c>
      <c r="Z17" s="7">
        <v>133.30000000000001</v>
      </c>
      <c r="AA17" s="7">
        <f>ABS(W17-X17)</f>
        <v>0</v>
      </c>
      <c r="AB17" s="8">
        <f t="shared" si="12"/>
        <v>28.300000000000011</v>
      </c>
      <c r="AG17" s="6"/>
      <c r="AH17" s="7">
        <v>20.5</v>
      </c>
      <c r="AI17" s="7"/>
      <c r="AJ17" s="7">
        <v>105</v>
      </c>
      <c r="AK17" s="7">
        <v>157</v>
      </c>
      <c r="AL17" s="7">
        <f>ABS(AH17-AI17)</f>
        <v>20.5</v>
      </c>
      <c r="AM17" s="8">
        <f t="shared" si="13"/>
        <v>52</v>
      </c>
      <c r="AR17" s="6"/>
      <c r="AS17" s="7">
        <v>20.5</v>
      </c>
      <c r="AT17" s="7">
        <v>20.3</v>
      </c>
      <c r="AU17" s="7">
        <v>105</v>
      </c>
      <c r="AV17" s="7">
        <v>113</v>
      </c>
      <c r="AW17" s="7">
        <f>ABS(AS17-AT17)</f>
        <v>0.19999999999999929</v>
      </c>
      <c r="AX17" s="8">
        <f t="shared" si="14"/>
        <v>8</v>
      </c>
    </row>
    <row r="18" spans="2:50" x14ac:dyDescent="0.25">
      <c r="B18" s="3" t="s">
        <v>26</v>
      </c>
      <c r="C18" s="4">
        <v>16.5</v>
      </c>
      <c r="D18" s="4">
        <v>16.2</v>
      </c>
      <c r="E18" s="4">
        <v>100</v>
      </c>
      <c r="F18" s="4">
        <v>93.8</v>
      </c>
      <c r="G18" s="4">
        <f t="shared" ref="G18:G45" si="15">ABS(C18-D18)</f>
        <v>0.30000000000000071</v>
      </c>
      <c r="H18" s="5">
        <f t="shared" si="10"/>
        <v>6.2000000000000028</v>
      </c>
      <c r="L18" s="3" t="s">
        <v>26</v>
      </c>
      <c r="M18" s="4">
        <v>16.5</v>
      </c>
      <c r="N18" s="4">
        <v>16.899999999999999</v>
      </c>
      <c r="O18" s="4">
        <v>100</v>
      </c>
      <c r="P18" s="4">
        <v>100</v>
      </c>
      <c r="Q18" s="4">
        <f t="shared" ref="Q18:Q45" si="16">ABS(M18-N18)</f>
        <v>0.39999999999999858</v>
      </c>
      <c r="R18" s="5">
        <f t="shared" si="11"/>
        <v>0</v>
      </c>
      <c r="V18" s="3" t="s">
        <v>26</v>
      </c>
      <c r="W18" s="4">
        <v>16.5</v>
      </c>
      <c r="X18" s="4">
        <v>17.600000000000001</v>
      </c>
      <c r="Y18" s="4">
        <v>100</v>
      </c>
      <c r="Z18" s="4">
        <v>99.6</v>
      </c>
      <c r="AA18" s="4">
        <f t="shared" ref="AA18:AA45" si="17">ABS(W18-X18)</f>
        <v>1.1000000000000014</v>
      </c>
      <c r="AB18" s="5">
        <f t="shared" si="12"/>
        <v>0.40000000000000568</v>
      </c>
      <c r="AG18" s="3" t="s">
        <v>26</v>
      </c>
      <c r="AH18" s="4">
        <v>16.5</v>
      </c>
      <c r="AI18" s="4"/>
      <c r="AJ18" s="4">
        <v>100</v>
      </c>
      <c r="AK18" s="4">
        <v>108</v>
      </c>
      <c r="AL18" s="4">
        <f t="shared" ref="AL18:AL45" si="18">ABS(AH18-AI18)</f>
        <v>16.5</v>
      </c>
      <c r="AM18" s="5">
        <f t="shared" si="13"/>
        <v>8</v>
      </c>
      <c r="AR18" s="3" t="s">
        <v>26</v>
      </c>
      <c r="AS18" s="4">
        <v>16.5</v>
      </c>
      <c r="AT18" s="4">
        <v>17.2</v>
      </c>
      <c r="AU18" s="4">
        <v>100</v>
      </c>
      <c r="AV18" s="4">
        <v>91.3</v>
      </c>
      <c r="AW18" s="4">
        <f t="shared" ref="AW18:AW45" si="19">ABS(AS18-AT18)</f>
        <v>0.69999999999999929</v>
      </c>
      <c r="AX18" s="5">
        <f t="shared" si="14"/>
        <v>8.7000000000000028</v>
      </c>
    </row>
    <row r="19" spans="2:50" x14ac:dyDescent="0.25">
      <c r="B19" s="6"/>
      <c r="C19" s="7">
        <v>12.5</v>
      </c>
      <c r="D19" s="7">
        <v>11</v>
      </c>
      <c r="E19" s="7">
        <v>75</v>
      </c>
      <c r="F19" s="7">
        <v>80</v>
      </c>
      <c r="G19" s="7">
        <f t="shared" si="15"/>
        <v>1.5</v>
      </c>
      <c r="H19" s="8">
        <f t="shared" si="10"/>
        <v>5</v>
      </c>
      <c r="L19" s="6"/>
      <c r="M19" s="7">
        <v>12.5</v>
      </c>
      <c r="N19" s="7">
        <v>11.7</v>
      </c>
      <c r="O19" s="7">
        <v>75</v>
      </c>
      <c r="P19" s="7">
        <v>55.5</v>
      </c>
      <c r="Q19" s="7">
        <f t="shared" si="16"/>
        <v>0.80000000000000071</v>
      </c>
      <c r="R19" s="8">
        <f t="shared" si="11"/>
        <v>19.5</v>
      </c>
      <c r="V19" s="6"/>
      <c r="W19" s="7">
        <v>12.5</v>
      </c>
      <c r="X19" s="7">
        <v>11</v>
      </c>
      <c r="Y19" s="7">
        <v>75</v>
      </c>
      <c r="Z19" s="7">
        <v>100.8</v>
      </c>
      <c r="AA19" s="7">
        <f t="shared" si="17"/>
        <v>1.5</v>
      </c>
      <c r="AB19" s="8">
        <f t="shared" si="12"/>
        <v>25.799999999999997</v>
      </c>
      <c r="AG19" s="6"/>
      <c r="AH19" s="7">
        <v>12.5</v>
      </c>
      <c r="AI19" s="7"/>
      <c r="AJ19" s="7">
        <v>75</v>
      </c>
      <c r="AK19" s="7">
        <v>62</v>
      </c>
      <c r="AL19" s="7">
        <f t="shared" si="18"/>
        <v>12.5</v>
      </c>
      <c r="AM19" s="8">
        <f t="shared" si="13"/>
        <v>13</v>
      </c>
      <c r="AR19" s="6"/>
      <c r="AS19" s="7">
        <v>12.5</v>
      </c>
      <c r="AT19" s="7">
        <v>11</v>
      </c>
      <c r="AU19" s="7">
        <v>75</v>
      </c>
      <c r="AV19" s="7">
        <v>81</v>
      </c>
      <c r="AW19" s="7">
        <f t="shared" si="19"/>
        <v>1.5</v>
      </c>
      <c r="AX19" s="8">
        <f t="shared" si="14"/>
        <v>6</v>
      </c>
    </row>
    <row r="20" spans="2:50" x14ac:dyDescent="0.25">
      <c r="B20" s="3" t="s">
        <v>27</v>
      </c>
      <c r="C20" s="4">
        <v>10</v>
      </c>
      <c r="D20" s="4">
        <v>10</v>
      </c>
      <c r="E20" s="4">
        <v>72</v>
      </c>
      <c r="F20" s="4">
        <v>78.8</v>
      </c>
      <c r="G20" s="4">
        <f t="shared" si="15"/>
        <v>0</v>
      </c>
      <c r="H20" s="5">
        <f t="shared" si="10"/>
        <v>6.7999999999999972</v>
      </c>
      <c r="L20" s="3" t="s">
        <v>27</v>
      </c>
      <c r="M20" s="4">
        <v>10</v>
      </c>
      <c r="N20" s="4">
        <v>8.3000000000000007</v>
      </c>
      <c r="O20" s="4">
        <v>72</v>
      </c>
      <c r="P20" s="4">
        <v>49.5</v>
      </c>
      <c r="Q20" s="4">
        <f t="shared" si="16"/>
        <v>1.6999999999999993</v>
      </c>
      <c r="R20" s="5">
        <f t="shared" si="11"/>
        <v>22.5</v>
      </c>
      <c r="V20" s="3" t="s">
        <v>27</v>
      </c>
      <c r="W20" s="4">
        <v>10</v>
      </c>
      <c r="X20" s="4">
        <v>10.3</v>
      </c>
      <c r="Y20" s="4">
        <v>72</v>
      </c>
      <c r="Z20" s="4">
        <v>93.8</v>
      </c>
      <c r="AA20" s="4">
        <f t="shared" si="17"/>
        <v>0.30000000000000071</v>
      </c>
      <c r="AB20" s="5">
        <f t="shared" si="12"/>
        <v>21.799999999999997</v>
      </c>
      <c r="AG20" s="3" t="s">
        <v>27</v>
      </c>
      <c r="AH20" s="4">
        <v>10</v>
      </c>
      <c r="AI20" s="4"/>
      <c r="AJ20" s="4">
        <v>72</v>
      </c>
      <c r="AK20" s="4">
        <v>157</v>
      </c>
      <c r="AL20" s="4">
        <f t="shared" si="18"/>
        <v>10</v>
      </c>
      <c r="AM20" s="5">
        <f t="shared" si="13"/>
        <v>85</v>
      </c>
      <c r="AR20" s="3" t="s">
        <v>27</v>
      </c>
      <c r="AS20" s="4">
        <v>10</v>
      </c>
      <c r="AT20" s="4">
        <v>9.8000000000000007</v>
      </c>
      <c r="AU20" s="4">
        <v>72</v>
      </c>
      <c r="AV20" s="4">
        <v>71</v>
      </c>
      <c r="AW20" s="4">
        <f t="shared" si="19"/>
        <v>0.19999999999999929</v>
      </c>
      <c r="AX20" s="5">
        <f t="shared" si="14"/>
        <v>1</v>
      </c>
    </row>
    <row r="21" spans="2:50" x14ac:dyDescent="0.25">
      <c r="B21" s="6"/>
      <c r="C21" s="7">
        <v>17.5</v>
      </c>
      <c r="D21" s="7">
        <v>17</v>
      </c>
      <c r="E21" s="7">
        <v>111</v>
      </c>
      <c r="F21" s="7">
        <v>74.3</v>
      </c>
      <c r="G21" s="7">
        <f t="shared" si="15"/>
        <v>0.5</v>
      </c>
      <c r="H21" s="8">
        <f t="shared" si="10"/>
        <v>36.700000000000003</v>
      </c>
      <c r="L21" s="6"/>
      <c r="M21" s="7">
        <v>17.5</v>
      </c>
      <c r="N21" s="7">
        <v>17.2</v>
      </c>
      <c r="O21" s="7">
        <v>111</v>
      </c>
      <c r="P21" s="7">
        <v>63.5</v>
      </c>
      <c r="Q21" s="7">
        <f t="shared" si="16"/>
        <v>0.30000000000000071</v>
      </c>
      <c r="R21" s="8">
        <f t="shared" si="11"/>
        <v>47.5</v>
      </c>
      <c r="V21" s="6"/>
      <c r="W21" s="7">
        <v>17.5</v>
      </c>
      <c r="X21" s="7">
        <v>16.899999999999999</v>
      </c>
      <c r="Y21" s="7">
        <v>111</v>
      </c>
      <c r="Z21" s="7">
        <v>99.6</v>
      </c>
      <c r="AA21" s="7">
        <f t="shared" si="17"/>
        <v>0.60000000000000142</v>
      </c>
      <c r="AB21" s="8">
        <f t="shared" si="12"/>
        <v>11.400000000000006</v>
      </c>
      <c r="AG21" s="6"/>
      <c r="AH21" s="7">
        <v>17.5</v>
      </c>
      <c r="AI21" s="7"/>
      <c r="AJ21" s="7">
        <v>111</v>
      </c>
      <c r="AK21" s="7">
        <v>75.3</v>
      </c>
      <c r="AL21" s="7">
        <f t="shared" si="18"/>
        <v>17.5</v>
      </c>
      <c r="AM21" s="8">
        <f t="shared" si="13"/>
        <v>35.700000000000003</v>
      </c>
      <c r="AR21" s="6"/>
      <c r="AS21" s="7">
        <v>17.5</v>
      </c>
      <c r="AT21" s="7">
        <v>16.5</v>
      </c>
      <c r="AU21" s="7">
        <v>111</v>
      </c>
      <c r="AV21" s="7">
        <v>81.599999999999994</v>
      </c>
      <c r="AW21" s="7">
        <f t="shared" si="19"/>
        <v>1</v>
      </c>
      <c r="AX21" s="8">
        <f t="shared" si="14"/>
        <v>29.400000000000006</v>
      </c>
    </row>
    <row r="22" spans="2:50" x14ac:dyDescent="0.25">
      <c r="B22" s="3" t="s">
        <v>28</v>
      </c>
      <c r="C22" s="4">
        <v>15.5</v>
      </c>
      <c r="D22" s="4">
        <v>14.6</v>
      </c>
      <c r="E22" s="4">
        <v>94</v>
      </c>
      <c r="F22" s="4">
        <v>85.5</v>
      </c>
      <c r="G22" s="4">
        <f t="shared" si="15"/>
        <v>0.90000000000000036</v>
      </c>
      <c r="H22" s="5">
        <f t="shared" si="10"/>
        <v>8.5</v>
      </c>
      <c r="L22" s="3" t="s">
        <v>28</v>
      </c>
      <c r="M22" s="4">
        <v>15.5</v>
      </c>
      <c r="N22" s="4">
        <v>14.6</v>
      </c>
      <c r="O22" s="4">
        <v>94</v>
      </c>
      <c r="P22" s="4">
        <v>72</v>
      </c>
      <c r="Q22" s="4">
        <f t="shared" si="16"/>
        <v>0.90000000000000036</v>
      </c>
      <c r="R22" s="5">
        <f t="shared" si="11"/>
        <v>22</v>
      </c>
      <c r="V22" s="3" t="s">
        <v>28</v>
      </c>
      <c r="W22" s="4">
        <v>15.5</v>
      </c>
      <c r="X22" s="4">
        <v>13.9</v>
      </c>
      <c r="Y22" s="4">
        <v>94</v>
      </c>
      <c r="Z22" s="4">
        <v>108.4</v>
      </c>
      <c r="AA22" s="4">
        <f t="shared" si="17"/>
        <v>1.5999999999999996</v>
      </c>
      <c r="AB22" s="5">
        <f t="shared" si="12"/>
        <v>14.400000000000006</v>
      </c>
      <c r="AG22" s="3" t="s">
        <v>28</v>
      </c>
      <c r="AH22" s="4">
        <v>15.5</v>
      </c>
      <c r="AI22" s="4"/>
      <c r="AJ22" s="4">
        <v>94</v>
      </c>
      <c r="AK22" s="4">
        <v>75</v>
      </c>
      <c r="AL22" s="4">
        <f t="shared" si="18"/>
        <v>15.5</v>
      </c>
      <c r="AM22" s="5">
        <f t="shared" si="13"/>
        <v>19</v>
      </c>
      <c r="AR22" s="3" t="s">
        <v>28</v>
      </c>
      <c r="AS22" s="4">
        <v>15.5</v>
      </c>
      <c r="AT22" s="4">
        <v>15.5</v>
      </c>
      <c r="AU22" s="4">
        <v>94</v>
      </c>
      <c r="AV22" s="4">
        <v>72.5</v>
      </c>
      <c r="AW22" s="4">
        <f t="shared" si="19"/>
        <v>0</v>
      </c>
      <c r="AX22" s="5">
        <f t="shared" si="14"/>
        <v>21.5</v>
      </c>
    </row>
    <row r="23" spans="2:50" x14ac:dyDescent="0.25">
      <c r="B23" s="6"/>
      <c r="C23" s="7">
        <v>13</v>
      </c>
      <c r="D23" s="7">
        <v>12.2</v>
      </c>
      <c r="E23" s="7">
        <v>94</v>
      </c>
      <c r="F23" s="7">
        <v>76</v>
      </c>
      <c r="G23" s="7">
        <f t="shared" si="15"/>
        <v>0.80000000000000071</v>
      </c>
      <c r="H23" s="8">
        <f t="shared" si="10"/>
        <v>18</v>
      </c>
      <c r="L23" s="6"/>
      <c r="M23" s="7">
        <v>13</v>
      </c>
      <c r="N23" s="7">
        <v>12.2</v>
      </c>
      <c r="O23" s="7">
        <v>94</v>
      </c>
      <c r="P23" s="7">
        <v>63.5</v>
      </c>
      <c r="Q23" s="7">
        <f t="shared" si="16"/>
        <v>0.80000000000000071</v>
      </c>
      <c r="R23" s="8">
        <f t="shared" si="11"/>
        <v>30.5</v>
      </c>
      <c r="V23" s="6"/>
      <c r="W23" s="7">
        <v>13</v>
      </c>
      <c r="X23" s="7">
        <v>11.7</v>
      </c>
      <c r="Y23" s="7">
        <v>94</v>
      </c>
      <c r="Z23" s="7">
        <v>112.8</v>
      </c>
      <c r="AA23" s="7">
        <f t="shared" si="17"/>
        <v>1.3000000000000007</v>
      </c>
      <c r="AB23" s="8">
        <f t="shared" si="12"/>
        <v>18.799999999999997</v>
      </c>
      <c r="AG23" s="6"/>
      <c r="AH23" s="7">
        <v>13</v>
      </c>
      <c r="AI23" s="7"/>
      <c r="AJ23" s="7">
        <v>94</v>
      </c>
      <c r="AK23" s="7">
        <v>115.5</v>
      </c>
      <c r="AL23" s="7">
        <f t="shared" si="18"/>
        <v>13</v>
      </c>
      <c r="AM23" s="8">
        <f t="shared" si="13"/>
        <v>21.5</v>
      </c>
      <c r="AR23" s="6"/>
      <c r="AS23" s="7">
        <v>13</v>
      </c>
      <c r="AT23" s="7">
        <v>11.3</v>
      </c>
      <c r="AU23" s="7">
        <v>94</v>
      </c>
      <c r="AV23" s="7">
        <v>106</v>
      </c>
      <c r="AW23" s="7">
        <f t="shared" si="19"/>
        <v>1.6999999999999993</v>
      </c>
      <c r="AX23" s="8">
        <f t="shared" si="14"/>
        <v>12</v>
      </c>
    </row>
    <row r="24" spans="2:50" x14ac:dyDescent="0.25">
      <c r="B24" s="3" t="s">
        <v>29</v>
      </c>
      <c r="C24" s="4">
        <v>14.5</v>
      </c>
      <c r="D24" s="4">
        <v>13.9</v>
      </c>
      <c r="E24" s="4">
        <v>104</v>
      </c>
      <c r="F24" s="4">
        <v>98.2</v>
      </c>
      <c r="G24" s="4">
        <f t="shared" si="15"/>
        <v>0.59999999999999964</v>
      </c>
      <c r="H24" s="5">
        <f t="shared" si="10"/>
        <v>5.7999999999999972</v>
      </c>
      <c r="L24" s="3" t="s">
        <v>29</v>
      </c>
      <c r="M24" s="4">
        <v>14.5</v>
      </c>
      <c r="N24" s="4">
        <v>13.6</v>
      </c>
      <c r="O24" s="4">
        <v>104</v>
      </c>
      <c r="P24" s="4">
        <v>105</v>
      </c>
      <c r="Q24" s="4">
        <f t="shared" si="16"/>
        <v>0.90000000000000036</v>
      </c>
      <c r="R24" s="5">
        <f t="shared" si="11"/>
        <v>1</v>
      </c>
      <c r="V24" s="3" t="s">
        <v>29</v>
      </c>
      <c r="W24" s="4">
        <v>14.5</v>
      </c>
      <c r="X24" s="4">
        <v>13.2</v>
      </c>
      <c r="Y24" s="4">
        <v>104</v>
      </c>
      <c r="Z24" s="4">
        <v>126</v>
      </c>
      <c r="AA24" s="4">
        <f t="shared" si="17"/>
        <v>1.3000000000000007</v>
      </c>
      <c r="AB24" s="5">
        <f t="shared" si="12"/>
        <v>22</v>
      </c>
      <c r="AG24" s="3" t="s">
        <v>29</v>
      </c>
      <c r="AH24" s="4">
        <v>14.5</v>
      </c>
      <c r="AI24" s="4"/>
      <c r="AJ24" s="4">
        <v>104</v>
      </c>
      <c r="AK24" s="4">
        <v>120</v>
      </c>
      <c r="AL24" s="4">
        <f t="shared" si="18"/>
        <v>14.5</v>
      </c>
      <c r="AM24" s="5">
        <f t="shared" si="13"/>
        <v>16</v>
      </c>
      <c r="AR24" s="3" t="s">
        <v>29</v>
      </c>
      <c r="AS24" s="4">
        <v>14.5</v>
      </c>
      <c r="AT24" s="4">
        <v>14</v>
      </c>
      <c r="AU24" s="4">
        <v>104</v>
      </c>
      <c r="AV24" s="4">
        <v>99.5</v>
      </c>
      <c r="AW24" s="4">
        <f t="shared" si="19"/>
        <v>0.5</v>
      </c>
      <c r="AX24" s="5">
        <f t="shared" si="14"/>
        <v>4.5</v>
      </c>
    </row>
    <row r="25" spans="2:50" x14ac:dyDescent="0.25">
      <c r="B25" s="6"/>
      <c r="C25" s="7">
        <v>11</v>
      </c>
      <c r="D25" s="7">
        <v>10.5</v>
      </c>
      <c r="E25" s="7">
        <v>98</v>
      </c>
      <c r="F25" s="7">
        <v>76.3</v>
      </c>
      <c r="G25" s="7">
        <f t="shared" si="15"/>
        <v>0.5</v>
      </c>
      <c r="H25" s="8">
        <f t="shared" si="10"/>
        <v>21.700000000000003</v>
      </c>
      <c r="L25" s="6"/>
      <c r="M25" s="7">
        <v>11</v>
      </c>
      <c r="N25" s="7">
        <v>11.9</v>
      </c>
      <c r="O25" s="7">
        <v>98</v>
      </c>
      <c r="P25" s="7">
        <v>61.5</v>
      </c>
      <c r="Q25" s="7">
        <f t="shared" si="16"/>
        <v>0.90000000000000036</v>
      </c>
      <c r="R25" s="8">
        <f t="shared" si="11"/>
        <v>36.5</v>
      </c>
      <c r="V25" s="6"/>
      <c r="W25" s="7">
        <v>11</v>
      </c>
      <c r="X25" s="7">
        <v>10.3</v>
      </c>
      <c r="Y25" s="7">
        <v>98</v>
      </c>
      <c r="Z25" s="7">
        <v>93.8</v>
      </c>
      <c r="AA25" s="7">
        <f t="shared" si="17"/>
        <v>0.69999999999999929</v>
      </c>
      <c r="AB25" s="8">
        <f t="shared" si="12"/>
        <v>4.2000000000000028</v>
      </c>
      <c r="AG25" s="6"/>
      <c r="AH25" s="7">
        <v>11</v>
      </c>
      <c r="AI25" s="7"/>
      <c r="AJ25" s="7">
        <v>98</v>
      </c>
      <c r="AK25" s="7">
        <v>219</v>
      </c>
      <c r="AL25" s="7">
        <f t="shared" si="18"/>
        <v>11</v>
      </c>
      <c r="AM25" s="8">
        <f t="shared" si="13"/>
        <v>121</v>
      </c>
      <c r="AR25" s="6"/>
      <c r="AS25" s="7">
        <v>11</v>
      </c>
      <c r="AT25" s="7">
        <v>10</v>
      </c>
      <c r="AU25" s="7">
        <v>98</v>
      </c>
      <c r="AV25" s="7">
        <v>86.5</v>
      </c>
      <c r="AW25" s="7">
        <f t="shared" si="19"/>
        <v>1</v>
      </c>
      <c r="AX25" s="8">
        <f t="shared" si="14"/>
        <v>11.5</v>
      </c>
    </row>
    <row r="26" spans="2:50" x14ac:dyDescent="0.25">
      <c r="B26" s="3" t="s">
        <v>32</v>
      </c>
      <c r="C26" s="4">
        <v>16</v>
      </c>
      <c r="D26" s="4">
        <v>15.6</v>
      </c>
      <c r="E26" s="4">
        <v>93</v>
      </c>
      <c r="F26" s="4">
        <v>95.7</v>
      </c>
      <c r="G26" s="4">
        <f t="shared" si="15"/>
        <v>0.40000000000000036</v>
      </c>
      <c r="H26" s="5">
        <f t="shared" si="10"/>
        <v>2.7000000000000028</v>
      </c>
      <c r="L26" s="3" t="s">
        <v>32</v>
      </c>
      <c r="M26" s="4">
        <v>16</v>
      </c>
      <c r="N26" s="4">
        <v>15.2</v>
      </c>
      <c r="O26" s="4">
        <v>93</v>
      </c>
      <c r="P26" s="4">
        <v>106</v>
      </c>
      <c r="Q26" s="4">
        <f t="shared" si="16"/>
        <v>0.80000000000000071</v>
      </c>
      <c r="R26" s="5">
        <f t="shared" si="11"/>
        <v>13</v>
      </c>
      <c r="V26" s="3" t="s">
        <v>32</v>
      </c>
      <c r="W26" s="4">
        <v>16</v>
      </c>
      <c r="X26" s="4">
        <v>15.2</v>
      </c>
      <c r="Y26" s="4">
        <v>93</v>
      </c>
      <c r="Z26" s="4">
        <v>106</v>
      </c>
      <c r="AA26" s="4">
        <f t="shared" si="17"/>
        <v>0.80000000000000071</v>
      </c>
      <c r="AB26" s="5">
        <f t="shared" si="12"/>
        <v>13</v>
      </c>
      <c r="AG26" s="3" t="s">
        <v>32</v>
      </c>
      <c r="AH26" s="4">
        <v>16</v>
      </c>
      <c r="AI26" s="4"/>
      <c r="AJ26" s="4">
        <v>93</v>
      </c>
      <c r="AK26" s="4">
        <v>133</v>
      </c>
      <c r="AL26" s="4">
        <f t="shared" si="18"/>
        <v>16</v>
      </c>
      <c r="AM26" s="5">
        <f t="shared" si="13"/>
        <v>40</v>
      </c>
      <c r="AR26" s="3" t="s">
        <v>32</v>
      </c>
      <c r="AS26" s="4">
        <v>16</v>
      </c>
      <c r="AT26" s="4">
        <v>15.2</v>
      </c>
      <c r="AU26" s="4">
        <v>93</v>
      </c>
      <c r="AV26" s="4">
        <v>107.3</v>
      </c>
      <c r="AW26" s="4">
        <f t="shared" si="19"/>
        <v>0.80000000000000071</v>
      </c>
      <c r="AX26" s="5">
        <f t="shared" si="14"/>
        <v>14.299999999999997</v>
      </c>
    </row>
    <row r="27" spans="2:50" x14ac:dyDescent="0.25">
      <c r="B27" s="12"/>
      <c r="C27">
        <v>11.6</v>
      </c>
      <c r="D27">
        <v>10.8</v>
      </c>
      <c r="E27">
        <v>69</v>
      </c>
      <c r="F27">
        <v>64</v>
      </c>
      <c r="G27">
        <f t="shared" si="15"/>
        <v>0.79999999999999893</v>
      </c>
      <c r="H27" s="13">
        <f t="shared" si="10"/>
        <v>5</v>
      </c>
      <c r="L27" s="12"/>
      <c r="M27">
        <v>11.6</v>
      </c>
      <c r="N27">
        <v>10.5</v>
      </c>
      <c r="O27">
        <v>69</v>
      </c>
      <c r="P27">
        <v>80</v>
      </c>
      <c r="Q27">
        <f t="shared" si="16"/>
        <v>1.0999999999999996</v>
      </c>
      <c r="R27" s="13">
        <f t="shared" si="11"/>
        <v>11</v>
      </c>
      <c r="V27" s="12"/>
      <c r="W27">
        <v>11.6</v>
      </c>
      <c r="X27">
        <v>10.5</v>
      </c>
      <c r="Y27">
        <v>69</v>
      </c>
      <c r="Z27">
        <v>91</v>
      </c>
      <c r="AA27">
        <f t="shared" si="17"/>
        <v>1.0999999999999996</v>
      </c>
      <c r="AB27" s="13">
        <f t="shared" si="12"/>
        <v>22</v>
      </c>
      <c r="AG27" s="12"/>
      <c r="AH27">
        <v>11.6</v>
      </c>
      <c r="AJ27">
        <v>69</v>
      </c>
      <c r="AK27" s="18">
        <v>74.5</v>
      </c>
      <c r="AL27">
        <f t="shared" si="18"/>
        <v>11.6</v>
      </c>
      <c r="AM27" s="13">
        <f t="shared" si="13"/>
        <v>5.5</v>
      </c>
      <c r="AR27" s="12"/>
      <c r="AS27">
        <v>11.6</v>
      </c>
      <c r="AT27">
        <v>11</v>
      </c>
      <c r="AU27">
        <v>69</v>
      </c>
      <c r="AV27">
        <v>55.8</v>
      </c>
      <c r="AW27">
        <f t="shared" si="19"/>
        <v>0.59999999999999964</v>
      </c>
      <c r="AX27" s="13">
        <f t="shared" si="14"/>
        <v>13.200000000000003</v>
      </c>
    </row>
    <row r="28" spans="2:50" x14ac:dyDescent="0.25">
      <c r="B28" s="6"/>
      <c r="C28" s="7">
        <v>12.4</v>
      </c>
      <c r="D28" s="7">
        <v>12.2</v>
      </c>
      <c r="E28" s="7">
        <v>77</v>
      </c>
      <c r="F28" s="7">
        <v>65.8</v>
      </c>
      <c r="G28" s="7">
        <f t="shared" si="15"/>
        <v>0.20000000000000107</v>
      </c>
      <c r="H28" s="8">
        <f t="shared" si="10"/>
        <v>11.200000000000003</v>
      </c>
      <c r="L28" s="6"/>
      <c r="M28" s="7">
        <v>12.4</v>
      </c>
      <c r="N28" s="7">
        <v>12.9</v>
      </c>
      <c r="O28" s="7">
        <v>77</v>
      </c>
      <c r="P28" s="7">
        <v>72</v>
      </c>
      <c r="Q28" s="7">
        <f t="shared" si="16"/>
        <v>0.5</v>
      </c>
      <c r="R28" s="8">
        <f t="shared" si="11"/>
        <v>5</v>
      </c>
      <c r="V28" s="6"/>
      <c r="W28" s="7">
        <v>12.4</v>
      </c>
      <c r="X28" s="7">
        <v>12.8</v>
      </c>
      <c r="Y28" s="7">
        <v>77</v>
      </c>
      <c r="Z28" s="7">
        <v>86.4</v>
      </c>
      <c r="AA28" s="7">
        <f t="shared" si="17"/>
        <v>0.40000000000000036</v>
      </c>
      <c r="AB28" s="8">
        <f t="shared" si="12"/>
        <v>9.4000000000000057</v>
      </c>
      <c r="AG28" s="6"/>
      <c r="AH28" s="7">
        <v>12.4</v>
      </c>
      <c r="AI28" s="7"/>
      <c r="AJ28" s="7">
        <v>77</v>
      </c>
      <c r="AK28" s="7">
        <v>67.5</v>
      </c>
      <c r="AL28" s="7">
        <f t="shared" si="18"/>
        <v>12.4</v>
      </c>
      <c r="AM28" s="8">
        <f t="shared" si="13"/>
        <v>9.5</v>
      </c>
      <c r="AR28" s="6"/>
      <c r="AS28" s="7">
        <v>12.4</v>
      </c>
      <c r="AT28" s="7">
        <v>12.2</v>
      </c>
      <c r="AU28" s="7">
        <v>77</v>
      </c>
      <c r="AV28" s="7">
        <v>66.2</v>
      </c>
      <c r="AW28" s="7">
        <f t="shared" si="19"/>
        <v>0.20000000000000107</v>
      </c>
      <c r="AX28" s="8">
        <f t="shared" si="14"/>
        <v>10.799999999999997</v>
      </c>
    </row>
    <row r="29" spans="2:50" x14ac:dyDescent="0.25">
      <c r="B29" s="3" t="s">
        <v>33</v>
      </c>
      <c r="C29" s="4">
        <v>10.4</v>
      </c>
      <c r="D29" s="4">
        <v>10.1</v>
      </c>
      <c r="E29" s="4">
        <v>75</v>
      </c>
      <c r="F29" s="4">
        <v>67.2</v>
      </c>
      <c r="G29" s="4">
        <f t="shared" si="15"/>
        <v>0.30000000000000071</v>
      </c>
      <c r="H29" s="5">
        <f t="shared" si="10"/>
        <v>7.7999999999999972</v>
      </c>
      <c r="L29" s="3" t="s">
        <v>33</v>
      </c>
      <c r="M29" s="4">
        <v>10.4</v>
      </c>
      <c r="N29" s="4">
        <v>10</v>
      </c>
      <c r="O29" s="4">
        <v>75</v>
      </c>
      <c r="P29" s="4">
        <v>67.599999999999994</v>
      </c>
      <c r="Q29" s="4">
        <f t="shared" si="16"/>
        <v>0.40000000000000036</v>
      </c>
      <c r="R29" s="5">
        <f t="shared" si="11"/>
        <v>7.4000000000000057</v>
      </c>
      <c r="V29" s="3" t="s">
        <v>33</v>
      </c>
      <c r="W29" s="4">
        <v>10.4</v>
      </c>
      <c r="X29" s="4">
        <v>10.5</v>
      </c>
      <c r="Y29" s="4">
        <v>75</v>
      </c>
      <c r="Z29" s="4">
        <v>80.3</v>
      </c>
      <c r="AA29" s="4">
        <f t="shared" si="17"/>
        <v>9.9999999999999645E-2</v>
      </c>
      <c r="AB29" s="5">
        <f t="shared" si="12"/>
        <v>5.2999999999999972</v>
      </c>
      <c r="AG29" s="3" t="s">
        <v>33</v>
      </c>
      <c r="AH29" s="4">
        <v>10.4</v>
      </c>
      <c r="AI29" s="4"/>
      <c r="AJ29" s="4">
        <v>75</v>
      </c>
      <c r="AK29" s="4">
        <v>71</v>
      </c>
      <c r="AL29" s="4">
        <f t="shared" si="18"/>
        <v>10.4</v>
      </c>
      <c r="AM29" s="5">
        <f t="shared" si="13"/>
        <v>4</v>
      </c>
      <c r="AR29" s="3" t="s">
        <v>33</v>
      </c>
      <c r="AS29" s="4">
        <v>10.4</v>
      </c>
      <c r="AT29" s="4">
        <v>10.199999999999999</v>
      </c>
      <c r="AU29" s="4">
        <v>75</v>
      </c>
      <c r="AV29" s="4">
        <v>69</v>
      </c>
      <c r="AW29" s="4">
        <f t="shared" si="19"/>
        <v>0.20000000000000107</v>
      </c>
      <c r="AX29" s="5">
        <f t="shared" si="14"/>
        <v>6</v>
      </c>
    </row>
    <row r="30" spans="2:50" x14ac:dyDescent="0.25">
      <c r="B30" s="12"/>
      <c r="C30">
        <v>9.6</v>
      </c>
      <c r="D30">
        <v>8.9</v>
      </c>
      <c r="E30">
        <v>92</v>
      </c>
      <c r="F30">
        <v>82.3</v>
      </c>
      <c r="G30">
        <f t="shared" si="15"/>
        <v>0.69999999999999929</v>
      </c>
      <c r="H30" s="13">
        <f t="shared" si="10"/>
        <v>9.7000000000000028</v>
      </c>
      <c r="L30" s="12"/>
      <c r="M30">
        <v>9.6</v>
      </c>
      <c r="N30">
        <v>9.5</v>
      </c>
      <c r="O30">
        <v>92</v>
      </c>
      <c r="P30">
        <v>98</v>
      </c>
      <c r="Q30">
        <f t="shared" si="16"/>
        <v>9.9999999999999645E-2</v>
      </c>
      <c r="R30" s="13">
        <f t="shared" si="11"/>
        <v>6</v>
      </c>
      <c r="V30" s="12"/>
      <c r="W30">
        <v>9.6</v>
      </c>
      <c r="X30">
        <v>8.1999999999999993</v>
      </c>
      <c r="Y30">
        <v>92</v>
      </c>
      <c r="Z30">
        <v>96.4</v>
      </c>
      <c r="AA30">
        <f t="shared" si="17"/>
        <v>1.4000000000000004</v>
      </c>
      <c r="AB30" s="13">
        <f t="shared" si="12"/>
        <v>4.4000000000000057</v>
      </c>
      <c r="AG30" s="12"/>
      <c r="AH30">
        <v>9.6</v>
      </c>
      <c r="AJ30">
        <v>92</v>
      </c>
      <c r="AK30" s="18">
        <v>78.3</v>
      </c>
      <c r="AL30">
        <f t="shared" si="18"/>
        <v>9.6</v>
      </c>
      <c r="AM30" s="13">
        <f t="shared" si="13"/>
        <v>13.700000000000003</v>
      </c>
      <c r="AR30" s="12"/>
      <c r="AS30">
        <v>9.6</v>
      </c>
      <c r="AT30">
        <v>8.5</v>
      </c>
      <c r="AU30">
        <v>92</v>
      </c>
      <c r="AV30">
        <v>97.4</v>
      </c>
      <c r="AW30">
        <f t="shared" si="19"/>
        <v>1.0999999999999996</v>
      </c>
      <c r="AX30" s="13">
        <f t="shared" si="14"/>
        <v>5.4000000000000057</v>
      </c>
    </row>
    <row r="31" spans="2:50" x14ac:dyDescent="0.25">
      <c r="B31" s="6"/>
      <c r="C31" s="7">
        <v>10.4</v>
      </c>
      <c r="D31" s="7">
        <v>9.6999999999999993</v>
      </c>
      <c r="E31" s="7">
        <v>72</v>
      </c>
      <c r="F31" s="7">
        <v>65.5</v>
      </c>
      <c r="G31" s="7">
        <f t="shared" si="15"/>
        <v>0.70000000000000107</v>
      </c>
      <c r="H31" s="8">
        <f t="shared" si="10"/>
        <v>6.5</v>
      </c>
      <c r="L31" s="6"/>
      <c r="M31" s="7">
        <v>10.4</v>
      </c>
      <c r="N31" s="7">
        <v>9.8000000000000007</v>
      </c>
      <c r="O31" s="7">
        <v>72</v>
      </c>
      <c r="P31" s="7">
        <v>72</v>
      </c>
      <c r="Q31" s="7">
        <f t="shared" si="16"/>
        <v>0.59999999999999964</v>
      </c>
      <c r="R31" s="8">
        <f t="shared" si="11"/>
        <v>0</v>
      </c>
      <c r="V31" s="6"/>
      <c r="W31" s="7">
        <v>10.4</v>
      </c>
      <c r="X31" s="7">
        <v>9.4</v>
      </c>
      <c r="Y31" s="7">
        <v>72</v>
      </c>
      <c r="Z31" s="7">
        <v>80.3</v>
      </c>
      <c r="AA31" s="7">
        <f t="shared" si="17"/>
        <v>1</v>
      </c>
      <c r="AB31" s="8">
        <f t="shared" si="12"/>
        <v>8.2999999999999972</v>
      </c>
      <c r="AG31" s="6"/>
      <c r="AH31" s="7">
        <v>10.4</v>
      </c>
      <c r="AI31" s="7"/>
      <c r="AJ31" s="7">
        <v>72</v>
      </c>
      <c r="AK31" s="7">
        <v>159</v>
      </c>
      <c r="AL31" s="7">
        <f t="shared" si="18"/>
        <v>10.4</v>
      </c>
      <c r="AM31" s="8">
        <f t="shared" si="13"/>
        <v>87</v>
      </c>
      <c r="AR31" s="6"/>
      <c r="AS31" s="7">
        <v>10.4</v>
      </c>
      <c r="AT31" s="7">
        <v>9.6</v>
      </c>
      <c r="AU31" s="7">
        <v>72</v>
      </c>
      <c r="AV31" s="7">
        <v>84.6</v>
      </c>
      <c r="AW31" s="7">
        <f t="shared" si="19"/>
        <v>0.80000000000000071</v>
      </c>
      <c r="AX31" s="8">
        <f t="shared" si="14"/>
        <v>12.599999999999994</v>
      </c>
    </row>
    <row r="32" spans="2:50" x14ac:dyDescent="0.25">
      <c r="B32" s="3" t="s">
        <v>34</v>
      </c>
      <c r="C32" s="4">
        <v>10.4</v>
      </c>
      <c r="D32" s="4">
        <v>9.1999999999999993</v>
      </c>
      <c r="E32" s="4">
        <v>95</v>
      </c>
      <c r="F32" s="4">
        <v>81.2</v>
      </c>
      <c r="G32" s="4">
        <f t="shared" si="15"/>
        <v>1.2000000000000011</v>
      </c>
      <c r="H32" s="5">
        <f t="shared" si="10"/>
        <v>13.799999999999997</v>
      </c>
      <c r="L32" s="3" t="s">
        <v>34</v>
      </c>
      <c r="M32" s="4">
        <v>10.4</v>
      </c>
      <c r="N32" s="4">
        <v>9.9</v>
      </c>
      <c r="O32" s="4">
        <v>95</v>
      </c>
      <c r="P32" s="4">
        <v>64.8</v>
      </c>
      <c r="Q32" s="4">
        <f t="shared" si="16"/>
        <v>0.5</v>
      </c>
      <c r="R32" s="5">
        <f t="shared" si="11"/>
        <v>30.200000000000003</v>
      </c>
      <c r="V32" s="3" t="s">
        <v>34</v>
      </c>
      <c r="W32" s="4">
        <v>10.4</v>
      </c>
      <c r="X32" s="4">
        <v>10.3</v>
      </c>
      <c r="Y32" s="4">
        <v>95</v>
      </c>
      <c r="Z32" s="4">
        <v>95.8</v>
      </c>
      <c r="AA32" s="4">
        <f t="shared" si="17"/>
        <v>9.9999999999999645E-2</v>
      </c>
      <c r="AB32" s="5">
        <f t="shared" si="12"/>
        <v>0.79999999999999716</v>
      </c>
      <c r="AG32" s="3" t="s">
        <v>34</v>
      </c>
      <c r="AH32" s="4">
        <v>10.4</v>
      </c>
      <c r="AI32" s="4"/>
      <c r="AJ32" s="4">
        <v>95</v>
      </c>
      <c r="AK32" s="4">
        <v>76.3</v>
      </c>
      <c r="AL32" s="4">
        <f t="shared" si="18"/>
        <v>10.4</v>
      </c>
      <c r="AM32" s="5">
        <f>ABS(AJ32-AK32)</f>
        <v>18.700000000000003</v>
      </c>
      <c r="AR32" s="3" t="s">
        <v>34</v>
      </c>
      <c r="AS32" s="4">
        <v>10.4</v>
      </c>
      <c r="AT32" s="4">
        <v>10</v>
      </c>
      <c r="AU32" s="4">
        <v>95</v>
      </c>
      <c r="AV32" s="4">
        <v>88.5</v>
      </c>
      <c r="AW32" s="4">
        <f t="shared" si="19"/>
        <v>0.40000000000000036</v>
      </c>
      <c r="AX32" s="5">
        <f t="shared" si="14"/>
        <v>6.5</v>
      </c>
    </row>
    <row r="33" spans="2:51" x14ac:dyDescent="0.25">
      <c r="B33" s="12"/>
      <c r="C33">
        <v>10.4</v>
      </c>
      <c r="D33">
        <v>10.4</v>
      </c>
      <c r="E33">
        <v>72</v>
      </c>
      <c r="F33">
        <v>72.8</v>
      </c>
      <c r="G33">
        <f t="shared" si="15"/>
        <v>0</v>
      </c>
      <c r="H33" s="13">
        <f t="shared" si="10"/>
        <v>0.79999999999999716</v>
      </c>
      <c r="L33" s="12"/>
      <c r="M33">
        <v>10.4</v>
      </c>
      <c r="N33">
        <v>9.6999999999999993</v>
      </c>
      <c r="O33">
        <v>72</v>
      </c>
      <c r="P33">
        <v>64.400000000000006</v>
      </c>
      <c r="Q33">
        <f t="shared" si="16"/>
        <v>0.70000000000000107</v>
      </c>
      <c r="R33" s="13">
        <f t="shared" si="11"/>
        <v>7.5999999999999943</v>
      </c>
      <c r="V33" s="12"/>
      <c r="W33">
        <v>10.4</v>
      </c>
      <c r="X33">
        <v>9.4</v>
      </c>
      <c r="Y33">
        <v>72</v>
      </c>
      <c r="Z33">
        <v>92.6</v>
      </c>
      <c r="AA33">
        <f t="shared" si="17"/>
        <v>1</v>
      </c>
      <c r="AB33" s="13">
        <f t="shared" si="12"/>
        <v>20.599999999999994</v>
      </c>
      <c r="AG33" s="12"/>
      <c r="AH33">
        <v>10.4</v>
      </c>
      <c r="AJ33">
        <v>72</v>
      </c>
      <c r="AK33" s="18">
        <v>72</v>
      </c>
      <c r="AL33">
        <f t="shared" si="18"/>
        <v>10.4</v>
      </c>
      <c r="AM33" s="13">
        <f t="shared" si="13"/>
        <v>0</v>
      </c>
      <c r="AR33" s="12"/>
      <c r="AS33">
        <v>10.4</v>
      </c>
      <c r="AT33">
        <v>10</v>
      </c>
      <c r="AU33">
        <v>72</v>
      </c>
      <c r="AV33">
        <v>74.900000000000006</v>
      </c>
      <c r="AW33">
        <f t="shared" si="19"/>
        <v>0.40000000000000036</v>
      </c>
      <c r="AX33" s="13">
        <f t="shared" si="14"/>
        <v>2.9000000000000057</v>
      </c>
    </row>
    <row r="34" spans="2:51" x14ac:dyDescent="0.25">
      <c r="B34" s="6"/>
      <c r="C34" s="7">
        <v>11.2</v>
      </c>
      <c r="D34">
        <v>10.9</v>
      </c>
      <c r="E34" s="7">
        <v>79</v>
      </c>
      <c r="F34" s="7">
        <v>69</v>
      </c>
      <c r="G34" s="7">
        <f t="shared" si="15"/>
        <v>0.29999999999999893</v>
      </c>
      <c r="H34" s="8">
        <f t="shared" si="10"/>
        <v>10</v>
      </c>
      <c r="L34" s="6"/>
      <c r="M34" s="7">
        <v>11.2</v>
      </c>
      <c r="N34">
        <v>10.3</v>
      </c>
      <c r="O34" s="7">
        <v>79</v>
      </c>
      <c r="P34" s="7">
        <v>75.5</v>
      </c>
      <c r="Q34" s="7">
        <f t="shared" si="16"/>
        <v>0.89999999999999858</v>
      </c>
      <c r="R34" s="8">
        <f t="shared" si="11"/>
        <v>3.5</v>
      </c>
      <c r="V34" s="6"/>
      <c r="W34" s="7">
        <v>11.2</v>
      </c>
      <c r="X34">
        <v>10.5</v>
      </c>
      <c r="Y34" s="7">
        <v>79</v>
      </c>
      <c r="Z34" s="7">
        <v>81.400000000000006</v>
      </c>
      <c r="AA34" s="7">
        <f t="shared" si="17"/>
        <v>0.69999999999999929</v>
      </c>
      <c r="AB34" s="8">
        <f t="shared" si="12"/>
        <v>2.4000000000000057</v>
      </c>
      <c r="AG34" s="6"/>
      <c r="AH34" s="7">
        <v>11.2</v>
      </c>
      <c r="AJ34" s="7">
        <v>79</v>
      </c>
      <c r="AK34" s="7">
        <v>121</v>
      </c>
      <c r="AL34" s="7">
        <f t="shared" si="18"/>
        <v>11.2</v>
      </c>
      <c r="AM34" s="8">
        <f>ABS(AJ34-AK34)</f>
        <v>42</v>
      </c>
      <c r="AR34" s="6"/>
      <c r="AS34" s="7">
        <v>11.2</v>
      </c>
      <c r="AT34">
        <v>11.2</v>
      </c>
      <c r="AU34" s="7">
        <v>79</v>
      </c>
      <c r="AV34" s="7">
        <v>67.3</v>
      </c>
      <c r="AW34" s="7">
        <f t="shared" si="19"/>
        <v>0</v>
      </c>
      <c r="AX34" s="8">
        <f t="shared" si="14"/>
        <v>11.700000000000003</v>
      </c>
    </row>
    <row r="35" spans="2:51" x14ac:dyDescent="0.25">
      <c r="B35" s="3" t="s">
        <v>35</v>
      </c>
      <c r="C35" s="4">
        <v>10</v>
      </c>
      <c r="D35" s="4">
        <v>8.6</v>
      </c>
      <c r="E35" s="4">
        <v>75</v>
      </c>
      <c r="F35" s="4">
        <v>76.400000000000006</v>
      </c>
      <c r="G35" s="4">
        <f t="shared" si="15"/>
        <v>1.4000000000000004</v>
      </c>
      <c r="H35" s="5">
        <f t="shared" si="10"/>
        <v>1.4000000000000057</v>
      </c>
      <c r="L35" s="3" t="s">
        <v>35</v>
      </c>
      <c r="M35" s="4">
        <v>10</v>
      </c>
      <c r="N35" s="4">
        <v>9.5</v>
      </c>
      <c r="O35" s="4">
        <v>75</v>
      </c>
      <c r="P35" s="4">
        <v>89.2</v>
      </c>
      <c r="Q35" s="4">
        <f t="shared" si="16"/>
        <v>0.5</v>
      </c>
      <c r="R35" s="5">
        <f t="shared" si="11"/>
        <v>14.200000000000003</v>
      </c>
      <c r="V35" s="3" t="s">
        <v>35</v>
      </c>
      <c r="W35" s="4">
        <v>10</v>
      </c>
      <c r="X35" s="4">
        <v>8.1999999999999993</v>
      </c>
      <c r="Y35" s="4">
        <v>75</v>
      </c>
      <c r="Z35" s="4">
        <v>91.7</v>
      </c>
      <c r="AA35" s="4">
        <f t="shared" si="17"/>
        <v>1.8000000000000007</v>
      </c>
      <c r="AB35" s="5">
        <f t="shared" si="12"/>
        <v>16.700000000000003</v>
      </c>
      <c r="AG35" s="3" t="s">
        <v>35</v>
      </c>
      <c r="AH35" s="4">
        <v>10</v>
      </c>
      <c r="AI35" s="4"/>
      <c r="AJ35" s="4">
        <v>75</v>
      </c>
      <c r="AK35" s="4">
        <v>111</v>
      </c>
      <c r="AL35" s="4">
        <f t="shared" si="18"/>
        <v>10</v>
      </c>
      <c r="AM35" s="5">
        <f t="shared" si="13"/>
        <v>36</v>
      </c>
      <c r="AR35" s="3" t="s">
        <v>35</v>
      </c>
      <c r="AS35" s="4">
        <v>10</v>
      </c>
      <c r="AT35" s="4">
        <v>9.4</v>
      </c>
      <c r="AU35" s="4">
        <v>75</v>
      </c>
      <c r="AV35" s="4">
        <v>72.599999999999994</v>
      </c>
      <c r="AW35" s="4">
        <f t="shared" si="19"/>
        <v>0.59999999999999964</v>
      </c>
      <c r="AX35" s="5">
        <f t="shared" si="14"/>
        <v>2.4000000000000057</v>
      </c>
    </row>
    <row r="36" spans="2:51" x14ac:dyDescent="0.25">
      <c r="B36" s="12"/>
      <c r="C36">
        <v>10</v>
      </c>
      <c r="D36">
        <v>10</v>
      </c>
      <c r="E36">
        <v>67</v>
      </c>
      <c r="F36">
        <v>78.099999999999994</v>
      </c>
      <c r="G36">
        <f t="shared" si="15"/>
        <v>0</v>
      </c>
      <c r="H36" s="13">
        <f t="shared" si="10"/>
        <v>11.099999999999994</v>
      </c>
      <c r="L36" s="12"/>
      <c r="M36">
        <v>10</v>
      </c>
      <c r="N36">
        <v>10</v>
      </c>
      <c r="O36">
        <v>67</v>
      </c>
      <c r="P36">
        <v>52.8</v>
      </c>
      <c r="Q36">
        <f t="shared" si="16"/>
        <v>0</v>
      </c>
      <c r="R36" s="13">
        <f t="shared" si="11"/>
        <v>14.200000000000003</v>
      </c>
      <c r="V36" s="12"/>
      <c r="W36">
        <v>10</v>
      </c>
      <c r="X36">
        <v>10.5</v>
      </c>
      <c r="Y36">
        <v>67</v>
      </c>
      <c r="Z36">
        <v>95.5</v>
      </c>
      <c r="AA36">
        <f t="shared" si="17"/>
        <v>0.5</v>
      </c>
      <c r="AB36" s="13">
        <f t="shared" si="12"/>
        <v>28.5</v>
      </c>
      <c r="AG36" s="12"/>
      <c r="AH36">
        <v>10</v>
      </c>
      <c r="AJ36">
        <v>67</v>
      </c>
      <c r="AK36" s="18">
        <v>69.599999999999994</v>
      </c>
      <c r="AL36">
        <f t="shared" si="18"/>
        <v>10</v>
      </c>
      <c r="AM36" s="13">
        <f t="shared" si="13"/>
        <v>2.5999999999999943</v>
      </c>
      <c r="AR36" s="12"/>
      <c r="AS36">
        <v>10</v>
      </c>
      <c r="AT36">
        <v>10.199999999999999</v>
      </c>
      <c r="AU36">
        <v>67</v>
      </c>
      <c r="AV36">
        <v>67.099999999999994</v>
      </c>
      <c r="AW36">
        <f t="shared" si="19"/>
        <v>0.19999999999999929</v>
      </c>
      <c r="AX36" s="13">
        <f t="shared" si="14"/>
        <v>9.9999999999994316E-2</v>
      </c>
    </row>
    <row r="37" spans="2:51" x14ac:dyDescent="0.25">
      <c r="B37" s="6"/>
      <c r="C37" s="7">
        <v>10.4</v>
      </c>
      <c r="D37" s="7">
        <v>9.6</v>
      </c>
      <c r="E37" s="7">
        <v>91</v>
      </c>
      <c r="F37" s="7">
        <v>71</v>
      </c>
      <c r="G37" s="7">
        <f t="shared" si="15"/>
        <v>0.80000000000000071</v>
      </c>
      <c r="H37" s="8">
        <f t="shared" si="10"/>
        <v>20</v>
      </c>
      <c r="L37" s="6"/>
      <c r="M37" s="7">
        <v>10.4</v>
      </c>
      <c r="N37" s="7">
        <v>9.6</v>
      </c>
      <c r="O37" s="7">
        <v>91</v>
      </c>
      <c r="P37" s="7">
        <v>61.2</v>
      </c>
      <c r="Q37" s="7">
        <f t="shared" si="16"/>
        <v>0.80000000000000071</v>
      </c>
      <c r="R37" s="8">
        <f t="shared" si="11"/>
        <v>29.799999999999997</v>
      </c>
      <c r="V37" s="6"/>
      <c r="W37" s="7">
        <v>10.4</v>
      </c>
      <c r="X37" s="7">
        <v>8</v>
      </c>
      <c r="Y37" s="7">
        <v>91</v>
      </c>
      <c r="Z37" s="7">
        <v>90.5</v>
      </c>
      <c r="AA37" s="7">
        <f t="shared" si="17"/>
        <v>2.4000000000000004</v>
      </c>
      <c r="AB37" s="8">
        <f t="shared" si="12"/>
        <v>0.5</v>
      </c>
      <c r="AG37" s="6"/>
      <c r="AH37" s="7">
        <v>10.4</v>
      </c>
      <c r="AI37" s="7"/>
      <c r="AJ37" s="7">
        <v>91</v>
      </c>
      <c r="AK37" s="7">
        <v>163</v>
      </c>
      <c r="AL37" s="7">
        <f t="shared" si="18"/>
        <v>10.4</v>
      </c>
      <c r="AM37" s="8">
        <f t="shared" si="13"/>
        <v>72</v>
      </c>
      <c r="AR37" s="6"/>
      <c r="AS37" s="7">
        <v>10.4</v>
      </c>
      <c r="AT37" s="7">
        <v>9.8000000000000007</v>
      </c>
      <c r="AU37" s="7">
        <v>91</v>
      </c>
      <c r="AV37" s="7">
        <v>75</v>
      </c>
      <c r="AW37" s="7">
        <f t="shared" si="19"/>
        <v>0.59999999999999964</v>
      </c>
      <c r="AX37" s="8">
        <f t="shared" si="14"/>
        <v>16</v>
      </c>
    </row>
    <row r="38" spans="2:51" x14ac:dyDescent="0.25">
      <c r="B38" s="3" t="s">
        <v>36</v>
      </c>
      <c r="C38" s="4">
        <v>11.6</v>
      </c>
      <c r="D38" s="4">
        <v>11.4</v>
      </c>
      <c r="E38" s="4">
        <v>92</v>
      </c>
      <c r="F38" s="4">
        <v>66.3</v>
      </c>
      <c r="G38" s="4">
        <f t="shared" si="15"/>
        <v>0.19999999999999929</v>
      </c>
      <c r="H38" s="5">
        <f t="shared" si="10"/>
        <v>25.700000000000003</v>
      </c>
      <c r="L38" s="3" t="s">
        <v>36</v>
      </c>
      <c r="M38" s="4">
        <v>11.6</v>
      </c>
      <c r="N38" s="4">
        <v>10.7</v>
      </c>
      <c r="O38" s="4">
        <v>92</v>
      </c>
      <c r="P38" s="4">
        <v>49.2</v>
      </c>
      <c r="Q38" s="4">
        <f t="shared" si="16"/>
        <v>0.90000000000000036</v>
      </c>
      <c r="R38" s="5">
        <f t="shared" si="11"/>
        <v>42.8</v>
      </c>
      <c r="V38" s="3" t="s">
        <v>36</v>
      </c>
      <c r="W38" s="4">
        <v>11.6</v>
      </c>
      <c r="X38" s="4">
        <v>11.7</v>
      </c>
      <c r="Y38" s="4">
        <v>92</v>
      </c>
      <c r="Z38" s="4">
        <v>59.5</v>
      </c>
      <c r="AA38" s="4">
        <f t="shared" si="17"/>
        <v>9.9999999999999645E-2</v>
      </c>
      <c r="AB38" s="5">
        <f t="shared" si="12"/>
        <v>32.5</v>
      </c>
      <c r="AG38" s="3" t="s">
        <v>36</v>
      </c>
      <c r="AH38" s="4">
        <v>11.6</v>
      </c>
      <c r="AI38" s="4"/>
      <c r="AJ38" s="4">
        <v>92</v>
      </c>
      <c r="AK38" s="4">
        <v>234</v>
      </c>
      <c r="AL38" s="4">
        <f t="shared" si="18"/>
        <v>11.6</v>
      </c>
      <c r="AM38" s="5">
        <f t="shared" si="13"/>
        <v>142</v>
      </c>
      <c r="AR38" s="3" t="s">
        <v>36</v>
      </c>
      <c r="AS38" s="4">
        <v>11.6</v>
      </c>
      <c r="AT38" s="4">
        <v>11.4</v>
      </c>
      <c r="AU38" s="4">
        <v>92</v>
      </c>
      <c r="AV38" s="4">
        <v>62.9</v>
      </c>
      <c r="AW38" s="4">
        <f t="shared" si="19"/>
        <v>0.19999999999999929</v>
      </c>
      <c r="AX38" s="5">
        <f t="shared" si="14"/>
        <v>29.1</v>
      </c>
    </row>
    <row r="39" spans="2:51" x14ac:dyDescent="0.25">
      <c r="B39" s="12"/>
      <c r="C39">
        <v>10</v>
      </c>
      <c r="D39">
        <v>8.1999999999999993</v>
      </c>
      <c r="E39">
        <v>71</v>
      </c>
      <c r="F39">
        <v>69.400000000000006</v>
      </c>
      <c r="G39">
        <f t="shared" si="15"/>
        <v>1.8000000000000007</v>
      </c>
      <c r="H39" s="13">
        <f t="shared" si="10"/>
        <v>1.5999999999999943</v>
      </c>
      <c r="L39" s="12"/>
      <c r="M39">
        <v>10</v>
      </c>
      <c r="N39">
        <v>9.4</v>
      </c>
      <c r="O39">
        <v>71</v>
      </c>
      <c r="P39">
        <v>54</v>
      </c>
      <c r="Q39">
        <f t="shared" si="16"/>
        <v>0.59999999999999964</v>
      </c>
      <c r="R39" s="13">
        <f t="shared" si="11"/>
        <v>17</v>
      </c>
      <c r="V39" s="12"/>
      <c r="W39">
        <v>10</v>
      </c>
      <c r="X39">
        <v>8.1999999999999993</v>
      </c>
      <c r="Y39">
        <v>71</v>
      </c>
      <c r="Z39">
        <v>89.6</v>
      </c>
      <c r="AA39">
        <f t="shared" si="17"/>
        <v>1.8000000000000007</v>
      </c>
      <c r="AB39" s="13">
        <f t="shared" si="12"/>
        <v>18.599999999999994</v>
      </c>
      <c r="AG39" s="12"/>
      <c r="AH39">
        <v>10</v>
      </c>
      <c r="AJ39">
        <v>71</v>
      </c>
      <c r="AK39" s="18">
        <v>139</v>
      </c>
      <c r="AL39">
        <f t="shared" si="18"/>
        <v>10</v>
      </c>
      <c r="AM39" s="13">
        <f t="shared" si="13"/>
        <v>68</v>
      </c>
      <c r="AR39" s="12"/>
      <c r="AS39">
        <v>10</v>
      </c>
      <c r="AT39">
        <v>8</v>
      </c>
      <c r="AU39">
        <v>71</v>
      </c>
      <c r="AV39">
        <v>63.2</v>
      </c>
      <c r="AW39">
        <f t="shared" si="19"/>
        <v>2</v>
      </c>
      <c r="AX39" s="13">
        <f t="shared" si="14"/>
        <v>7.7999999999999972</v>
      </c>
    </row>
    <row r="40" spans="2:51" x14ac:dyDescent="0.25">
      <c r="B40" s="12"/>
      <c r="C40">
        <v>11.2</v>
      </c>
      <c r="D40">
        <v>11</v>
      </c>
      <c r="E40">
        <v>105</v>
      </c>
      <c r="F40">
        <v>62</v>
      </c>
      <c r="G40">
        <f t="shared" si="15"/>
        <v>0.19999999999999929</v>
      </c>
      <c r="H40" s="13">
        <f t="shared" si="10"/>
        <v>43</v>
      </c>
      <c r="L40" s="12"/>
      <c r="M40">
        <v>11.2</v>
      </c>
      <c r="N40">
        <v>10.4</v>
      </c>
      <c r="O40">
        <v>105</v>
      </c>
      <c r="P40">
        <v>62.8</v>
      </c>
      <c r="Q40">
        <f t="shared" si="16"/>
        <v>0.79999999999999893</v>
      </c>
      <c r="R40" s="13">
        <f t="shared" si="11"/>
        <v>42.2</v>
      </c>
      <c r="V40" s="12"/>
      <c r="W40">
        <v>11.2</v>
      </c>
      <c r="X40">
        <v>10.5</v>
      </c>
      <c r="Y40">
        <v>105</v>
      </c>
      <c r="Z40">
        <v>85</v>
      </c>
      <c r="AA40">
        <f t="shared" si="17"/>
        <v>0.69999999999999929</v>
      </c>
      <c r="AB40" s="13">
        <f t="shared" si="12"/>
        <v>20</v>
      </c>
      <c r="AG40" s="12"/>
      <c r="AH40">
        <v>11.2</v>
      </c>
      <c r="AJ40">
        <v>105</v>
      </c>
      <c r="AK40">
        <v>69.5</v>
      </c>
      <c r="AL40">
        <f t="shared" si="18"/>
        <v>11.2</v>
      </c>
      <c r="AM40" s="13">
        <f t="shared" si="13"/>
        <v>35.5</v>
      </c>
      <c r="AR40" s="12"/>
      <c r="AS40">
        <v>11.2</v>
      </c>
      <c r="AT40">
        <v>11.4</v>
      </c>
      <c r="AU40">
        <v>105</v>
      </c>
      <c r="AV40">
        <v>59.3</v>
      </c>
      <c r="AW40">
        <f t="shared" si="19"/>
        <v>0.20000000000000107</v>
      </c>
      <c r="AX40" s="13">
        <f t="shared" si="14"/>
        <v>45.7</v>
      </c>
    </row>
    <row r="41" spans="2:51" x14ac:dyDescent="0.25">
      <c r="B41" s="6"/>
      <c r="C41" s="7">
        <v>10.4</v>
      </c>
      <c r="D41" s="7">
        <v>10.7</v>
      </c>
      <c r="E41" s="7">
        <v>72</v>
      </c>
      <c r="F41" s="7">
        <v>68.8</v>
      </c>
      <c r="G41" s="7">
        <f t="shared" si="15"/>
        <v>0.29999999999999893</v>
      </c>
      <c r="H41" s="8">
        <f t="shared" si="10"/>
        <v>3.2000000000000028</v>
      </c>
      <c r="L41" s="6"/>
      <c r="M41" s="7">
        <v>10.4</v>
      </c>
      <c r="N41" s="7">
        <v>10.1</v>
      </c>
      <c r="O41" s="7">
        <v>72</v>
      </c>
      <c r="P41" s="7">
        <v>69.599999999999994</v>
      </c>
      <c r="Q41" s="7">
        <f t="shared" si="16"/>
        <v>0.30000000000000071</v>
      </c>
      <c r="R41" s="8">
        <f t="shared" si="11"/>
        <v>2.4000000000000057</v>
      </c>
      <c r="V41" s="6"/>
      <c r="W41" s="7">
        <v>10.4</v>
      </c>
      <c r="X41" s="7">
        <v>10.5</v>
      </c>
      <c r="Y41" s="7">
        <v>72</v>
      </c>
      <c r="Z41" s="7">
        <v>89</v>
      </c>
      <c r="AA41" s="7">
        <f t="shared" si="17"/>
        <v>9.9999999999999645E-2</v>
      </c>
      <c r="AB41" s="8">
        <f t="shared" si="12"/>
        <v>17</v>
      </c>
      <c r="AG41" s="6"/>
      <c r="AH41" s="7">
        <v>10.4</v>
      </c>
      <c r="AI41" s="7"/>
      <c r="AJ41" s="7">
        <v>72</v>
      </c>
      <c r="AK41" s="7">
        <v>82.3</v>
      </c>
      <c r="AL41" s="7">
        <f t="shared" si="18"/>
        <v>10.4</v>
      </c>
      <c r="AM41" s="8">
        <f t="shared" si="13"/>
        <v>10.299999999999997</v>
      </c>
      <c r="AR41" s="6"/>
      <c r="AS41" s="7">
        <v>10.4</v>
      </c>
      <c r="AT41" s="7">
        <v>10.6</v>
      </c>
      <c r="AU41" s="7">
        <v>72</v>
      </c>
      <c r="AV41" s="7">
        <v>67</v>
      </c>
      <c r="AW41" s="7">
        <f t="shared" si="19"/>
        <v>0.19999999999999929</v>
      </c>
      <c r="AX41" s="8">
        <f t="shared" si="14"/>
        <v>5</v>
      </c>
    </row>
    <row r="42" spans="2:51" x14ac:dyDescent="0.25">
      <c r="B42" s="3" t="s">
        <v>37</v>
      </c>
      <c r="C42" s="4">
        <v>12.8</v>
      </c>
      <c r="D42" s="4">
        <v>12.3</v>
      </c>
      <c r="E42" s="4">
        <v>95</v>
      </c>
      <c r="F42" s="4">
        <v>56.6</v>
      </c>
      <c r="G42">
        <f t="shared" si="15"/>
        <v>0.5</v>
      </c>
      <c r="H42" s="13">
        <f t="shared" si="10"/>
        <v>38.4</v>
      </c>
      <c r="L42" s="3" t="s">
        <v>37</v>
      </c>
      <c r="M42" s="4">
        <v>12.8</v>
      </c>
      <c r="N42" s="4">
        <v>12.9</v>
      </c>
      <c r="O42" s="4">
        <v>95</v>
      </c>
      <c r="P42" s="4">
        <v>50</v>
      </c>
      <c r="Q42">
        <f t="shared" si="16"/>
        <v>9.9999999999999645E-2</v>
      </c>
      <c r="R42" s="13">
        <f t="shared" si="11"/>
        <v>45</v>
      </c>
      <c r="V42" s="3" t="s">
        <v>37</v>
      </c>
      <c r="W42" s="4">
        <v>12.8</v>
      </c>
      <c r="X42" s="4">
        <v>12.9</v>
      </c>
      <c r="Y42" s="4">
        <v>95</v>
      </c>
      <c r="Z42" s="4">
        <v>88.5</v>
      </c>
      <c r="AA42">
        <f t="shared" si="17"/>
        <v>9.9999999999999645E-2</v>
      </c>
      <c r="AB42" s="13">
        <f t="shared" si="12"/>
        <v>6.5</v>
      </c>
      <c r="AG42" s="3" t="s">
        <v>37</v>
      </c>
      <c r="AH42" s="4">
        <v>12.8</v>
      </c>
      <c r="AI42" s="4"/>
      <c r="AJ42" s="4">
        <v>95</v>
      </c>
      <c r="AK42" s="4">
        <v>150</v>
      </c>
      <c r="AL42">
        <f t="shared" si="18"/>
        <v>12.8</v>
      </c>
      <c r="AM42" s="13">
        <f t="shared" si="13"/>
        <v>55</v>
      </c>
      <c r="AR42" s="3" t="s">
        <v>37</v>
      </c>
      <c r="AS42" s="4">
        <v>12.8</v>
      </c>
      <c r="AT42" s="4">
        <v>12.4</v>
      </c>
      <c r="AU42" s="4">
        <v>95</v>
      </c>
      <c r="AV42" s="4">
        <v>57.6</v>
      </c>
      <c r="AW42">
        <f t="shared" si="19"/>
        <v>0.40000000000000036</v>
      </c>
      <c r="AX42" s="13">
        <f t="shared" si="14"/>
        <v>37.4</v>
      </c>
    </row>
    <row r="43" spans="2:51" x14ac:dyDescent="0.25">
      <c r="B43" s="12"/>
      <c r="C43">
        <v>10</v>
      </c>
      <c r="D43">
        <v>10</v>
      </c>
      <c r="E43">
        <v>76</v>
      </c>
      <c r="F43">
        <v>63.9</v>
      </c>
      <c r="G43">
        <f t="shared" si="15"/>
        <v>0</v>
      </c>
      <c r="H43" s="13">
        <f t="shared" si="10"/>
        <v>12.100000000000001</v>
      </c>
      <c r="L43" s="12"/>
      <c r="M43">
        <v>10</v>
      </c>
      <c r="N43">
        <v>9.8000000000000007</v>
      </c>
      <c r="O43">
        <v>76</v>
      </c>
      <c r="P43">
        <v>58.4</v>
      </c>
      <c r="Q43">
        <f t="shared" si="16"/>
        <v>0.19999999999999929</v>
      </c>
      <c r="R43" s="13">
        <f t="shared" si="11"/>
        <v>17.600000000000001</v>
      </c>
      <c r="V43" s="12"/>
      <c r="W43">
        <v>10</v>
      </c>
      <c r="X43">
        <v>10.5</v>
      </c>
      <c r="Y43">
        <v>76</v>
      </c>
      <c r="Z43">
        <v>80.599999999999994</v>
      </c>
      <c r="AA43">
        <f t="shared" si="17"/>
        <v>0.5</v>
      </c>
      <c r="AB43" s="13">
        <f t="shared" si="12"/>
        <v>4.5999999999999943</v>
      </c>
      <c r="AG43" s="12"/>
      <c r="AH43">
        <v>10</v>
      </c>
      <c r="AJ43">
        <v>76</v>
      </c>
      <c r="AK43" s="18">
        <v>61</v>
      </c>
      <c r="AL43">
        <f t="shared" si="18"/>
        <v>10</v>
      </c>
      <c r="AM43" s="13">
        <f t="shared" si="13"/>
        <v>15</v>
      </c>
      <c r="AR43" s="12"/>
      <c r="AS43">
        <v>10</v>
      </c>
      <c r="AT43">
        <v>10</v>
      </c>
      <c r="AU43">
        <v>76</v>
      </c>
      <c r="AV43">
        <v>69.599999999999994</v>
      </c>
      <c r="AW43">
        <f t="shared" si="19"/>
        <v>0</v>
      </c>
      <c r="AX43" s="13">
        <f>ABS(AU43-AV43)</f>
        <v>6.4000000000000057</v>
      </c>
    </row>
    <row r="44" spans="2:51" x14ac:dyDescent="0.25">
      <c r="B44" s="12"/>
      <c r="C44">
        <v>10</v>
      </c>
      <c r="D44">
        <v>9</v>
      </c>
      <c r="E44">
        <v>72</v>
      </c>
      <c r="F44">
        <v>66</v>
      </c>
      <c r="G44">
        <f t="shared" si="15"/>
        <v>1</v>
      </c>
      <c r="H44" s="13">
        <f t="shared" si="10"/>
        <v>6</v>
      </c>
      <c r="L44" s="12"/>
      <c r="M44">
        <v>10</v>
      </c>
      <c r="N44">
        <v>9.5</v>
      </c>
      <c r="O44">
        <v>72</v>
      </c>
      <c r="P44">
        <v>50.8</v>
      </c>
      <c r="Q44">
        <f t="shared" si="16"/>
        <v>0.5</v>
      </c>
      <c r="R44" s="13">
        <f t="shared" si="11"/>
        <v>21.200000000000003</v>
      </c>
      <c r="V44" s="12"/>
      <c r="W44">
        <v>10</v>
      </c>
      <c r="X44">
        <v>9.4</v>
      </c>
      <c r="Y44">
        <v>72</v>
      </c>
      <c r="Z44">
        <v>79.7</v>
      </c>
      <c r="AA44">
        <f t="shared" si="17"/>
        <v>0.59999999999999964</v>
      </c>
      <c r="AB44" s="13">
        <f t="shared" si="12"/>
        <v>7.7000000000000028</v>
      </c>
      <c r="AG44" s="12"/>
      <c r="AH44">
        <v>10</v>
      </c>
      <c r="AJ44">
        <v>72</v>
      </c>
      <c r="AK44">
        <v>72.7</v>
      </c>
      <c r="AL44">
        <f t="shared" si="18"/>
        <v>10</v>
      </c>
      <c r="AM44" s="13">
        <f t="shared" si="13"/>
        <v>0.70000000000000284</v>
      </c>
      <c r="AR44" s="12"/>
      <c r="AS44">
        <v>10</v>
      </c>
      <c r="AT44">
        <v>9.6</v>
      </c>
      <c r="AU44">
        <v>72</v>
      </c>
      <c r="AV44">
        <v>57.3</v>
      </c>
      <c r="AW44">
        <f t="shared" si="19"/>
        <v>0.40000000000000036</v>
      </c>
      <c r="AX44" s="13">
        <f>ABS(AU44-AV44)</f>
        <v>14.700000000000003</v>
      </c>
    </row>
    <row r="45" spans="2:51" x14ac:dyDescent="0.25">
      <c r="B45" s="6"/>
      <c r="C45" s="7">
        <v>10</v>
      </c>
      <c r="D45" s="7">
        <v>10.8</v>
      </c>
      <c r="E45" s="7">
        <v>102</v>
      </c>
      <c r="F45" s="7">
        <v>81</v>
      </c>
      <c r="G45" s="7">
        <f t="shared" si="15"/>
        <v>0.80000000000000071</v>
      </c>
      <c r="H45" s="13">
        <f t="shared" si="10"/>
        <v>21</v>
      </c>
      <c r="L45" s="6"/>
      <c r="M45" s="7">
        <v>10</v>
      </c>
      <c r="N45" s="7">
        <v>9.6999999999999993</v>
      </c>
      <c r="O45" s="7">
        <v>102</v>
      </c>
      <c r="P45" s="7">
        <v>102</v>
      </c>
      <c r="Q45" s="7">
        <f t="shared" si="16"/>
        <v>0.30000000000000071</v>
      </c>
      <c r="R45" s="8">
        <f t="shared" si="11"/>
        <v>0</v>
      </c>
      <c r="V45" s="6"/>
      <c r="W45" s="7">
        <v>10</v>
      </c>
      <c r="X45" s="7">
        <v>10</v>
      </c>
      <c r="Y45" s="7">
        <v>102</v>
      </c>
      <c r="Z45" s="7">
        <v>82</v>
      </c>
      <c r="AA45" s="7">
        <f t="shared" si="17"/>
        <v>0</v>
      </c>
      <c r="AB45" s="8">
        <f t="shared" si="12"/>
        <v>20</v>
      </c>
      <c r="AG45" s="6"/>
      <c r="AH45" s="7">
        <v>10</v>
      </c>
      <c r="AI45" s="7"/>
      <c r="AJ45" s="7">
        <v>102</v>
      </c>
      <c r="AK45" s="7">
        <v>136.80000000000001</v>
      </c>
      <c r="AL45" s="7">
        <f t="shared" si="18"/>
        <v>10</v>
      </c>
      <c r="AM45" s="8">
        <f t="shared" si="13"/>
        <v>34.800000000000011</v>
      </c>
      <c r="AR45" s="6"/>
      <c r="AS45" s="7">
        <v>10</v>
      </c>
      <c r="AT45" s="7">
        <v>10.5</v>
      </c>
      <c r="AU45" s="7">
        <v>102</v>
      </c>
      <c r="AV45" s="7">
        <v>84</v>
      </c>
      <c r="AW45" s="7">
        <f t="shared" si="19"/>
        <v>0.5</v>
      </c>
      <c r="AX45" s="8">
        <f t="shared" si="14"/>
        <v>18</v>
      </c>
    </row>
    <row r="46" spans="2:51" x14ac:dyDescent="0.25">
      <c r="G46">
        <f>AVERAGE(G2:G45)</f>
        <v>0.73181818181818192</v>
      </c>
      <c r="H46" s="4">
        <f>AVERAGE(H2:H45)</f>
        <v>12.786363636363637</v>
      </c>
      <c r="Q46">
        <f>AVERAGE(Q2:Q45)</f>
        <v>0.58636363636363642</v>
      </c>
      <c r="R46">
        <f>AVERAGE(R2:R45)</f>
        <v>20.650000000000002</v>
      </c>
      <c r="AA46">
        <f>AVERAGE(AA2:AA45)</f>
        <v>1.6772727272727268</v>
      </c>
      <c r="AB46">
        <f>AVERAGE(AB2:AB45)</f>
        <v>13.610227272727274</v>
      </c>
      <c r="AM46" s="20">
        <f>AVERAGE(AM2:AM45)</f>
        <v>37.231818181818191</v>
      </c>
      <c r="AW46">
        <f>AVERAGE(AW2:AW45)</f>
        <v>0.55454545454545456</v>
      </c>
      <c r="AX46" s="19">
        <f>AVERAGE(AX2:AX45)</f>
        <v>14.520454545454548</v>
      </c>
      <c r="AY46" s="1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2026-01-11T15:56:02Z</dcterms:modified>
</cp:coreProperties>
</file>