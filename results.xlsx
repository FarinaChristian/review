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rist\Desktop\"/>
    </mc:Choice>
  </mc:AlternateContent>
  <xr:revisionPtr revIDLastSave="0" documentId="13_ncr:1_{B9D6D01D-3993-4777-8C10-D0D3C0EE5C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4" i="1" l="1"/>
  <c r="AX25" i="1"/>
  <c r="AW25" i="1"/>
  <c r="AX24" i="1"/>
  <c r="AW24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M25" i="1"/>
  <c r="AL25" i="1"/>
  <c r="AM24" i="1"/>
  <c r="AL2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B25" i="1"/>
  <c r="AA25" i="1"/>
  <c r="AB24" i="1"/>
  <c r="AA2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H18" i="1"/>
  <c r="H19" i="1"/>
  <c r="H20" i="1"/>
  <c r="H21" i="1"/>
  <c r="H22" i="1"/>
  <c r="H23" i="1"/>
  <c r="H24" i="1"/>
  <c r="H25" i="1"/>
  <c r="G18" i="1"/>
  <c r="G19" i="1"/>
  <c r="G20" i="1"/>
  <c r="G21" i="1"/>
  <c r="G22" i="1"/>
  <c r="G23" i="1"/>
  <c r="G24" i="1"/>
  <c r="G25" i="1"/>
  <c r="AX36" i="1" l="1"/>
  <c r="AW36" i="1"/>
  <c r="AX35" i="1"/>
  <c r="AW35" i="1"/>
  <c r="AX34" i="1"/>
  <c r="AW34" i="1"/>
  <c r="AM36" i="1"/>
  <c r="AL36" i="1"/>
  <c r="AM35" i="1"/>
  <c r="AL35" i="1"/>
  <c r="AM34" i="1"/>
  <c r="AL34" i="1"/>
  <c r="AB36" i="1"/>
  <c r="AA36" i="1"/>
  <c r="AB35" i="1"/>
  <c r="AA35" i="1"/>
  <c r="AB34" i="1"/>
  <c r="AA34" i="1"/>
  <c r="R36" i="1"/>
  <c r="Q36" i="1"/>
  <c r="R35" i="1"/>
  <c r="Q35" i="1"/>
  <c r="R34" i="1"/>
  <c r="Q34" i="1"/>
  <c r="H36" i="1"/>
  <c r="G36" i="1"/>
  <c r="H35" i="1"/>
  <c r="G35" i="1"/>
  <c r="H34" i="1"/>
  <c r="G34" i="1"/>
  <c r="AX64" i="1"/>
  <c r="AW64" i="1"/>
  <c r="AX63" i="1"/>
  <c r="AW63" i="1"/>
  <c r="AX62" i="1"/>
  <c r="AW62" i="1"/>
  <c r="AX61" i="1"/>
  <c r="AW61" i="1"/>
  <c r="AX60" i="1"/>
  <c r="AW60" i="1"/>
  <c r="AX59" i="1"/>
  <c r="AW59" i="1"/>
  <c r="AX58" i="1"/>
  <c r="AW58" i="1"/>
  <c r="AX57" i="1"/>
  <c r="AW57" i="1"/>
  <c r="AM64" i="1"/>
  <c r="AL64" i="1"/>
  <c r="AM63" i="1"/>
  <c r="AL63" i="1"/>
  <c r="AM62" i="1"/>
  <c r="AL62" i="1"/>
  <c r="AM61" i="1"/>
  <c r="AL61" i="1"/>
  <c r="AM60" i="1"/>
  <c r="AL60" i="1"/>
  <c r="AM59" i="1"/>
  <c r="AL59" i="1"/>
  <c r="AM58" i="1"/>
  <c r="AL58" i="1"/>
  <c r="AM57" i="1"/>
  <c r="AL57" i="1"/>
  <c r="AB64" i="1"/>
  <c r="AB63" i="1"/>
  <c r="AA63" i="1"/>
  <c r="AB62" i="1"/>
  <c r="AA62" i="1"/>
  <c r="AB61" i="1"/>
  <c r="AA61" i="1"/>
  <c r="AB60" i="1"/>
  <c r="AA60" i="1"/>
  <c r="AB59" i="1"/>
  <c r="AA59" i="1"/>
  <c r="AB58" i="1"/>
  <c r="AA58" i="1"/>
  <c r="AB57" i="1"/>
  <c r="AA57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AX56" i="1" l="1"/>
  <c r="AW56" i="1"/>
  <c r="AX55" i="1"/>
  <c r="AW55" i="1"/>
  <c r="AX54" i="1"/>
  <c r="AW54" i="1"/>
  <c r="AX53" i="1"/>
  <c r="AW53" i="1"/>
  <c r="AX52" i="1"/>
  <c r="AW52" i="1"/>
  <c r="AX51" i="1"/>
  <c r="AW51" i="1"/>
  <c r="AX50" i="1"/>
  <c r="AW50" i="1"/>
  <c r="AX49" i="1"/>
  <c r="AW49" i="1"/>
  <c r="AX48" i="1"/>
  <c r="AW48" i="1"/>
  <c r="AX47" i="1"/>
  <c r="AW47" i="1"/>
  <c r="AX46" i="1"/>
  <c r="AW46" i="1"/>
  <c r="AX45" i="1"/>
  <c r="AW45" i="1"/>
  <c r="AX44" i="1"/>
  <c r="AW44" i="1"/>
  <c r="AX43" i="1"/>
  <c r="AW43" i="1"/>
  <c r="AX42" i="1"/>
  <c r="AW42" i="1"/>
  <c r="AX41" i="1"/>
  <c r="AW41" i="1"/>
  <c r="AX40" i="1"/>
  <c r="AW40" i="1"/>
  <c r="AX39" i="1"/>
  <c r="AW39" i="1"/>
  <c r="AX38" i="1"/>
  <c r="AW38" i="1"/>
  <c r="AX37" i="1"/>
  <c r="AW37" i="1"/>
  <c r="AM56" i="1"/>
  <c r="AL56" i="1"/>
  <c r="AM55" i="1"/>
  <c r="AL55" i="1"/>
  <c r="AM54" i="1"/>
  <c r="AL54" i="1"/>
  <c r="AM53" i="1"/>
  <c r="AL53" i="1"/>
  <c r="AM52" i="1"/>
  <c r="AL52" i="1"/>
  <c r="AM51" i="1"/>
  <c r="AL51" i="1"/>
  <c r="AM50" i="1"/>
  <c r="AL50" i="1"/>
  <c r="AM49" i="1"/>
  <c r="AL4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B56" i="1"/>
  <c r="AA56" i="1"/>
  <c r="AB55" i="1"/>
  <c r="AA55" i="1"/>
  <c r="AB54" i="1"/>
  <c r="AA54" i="1"/>
  <c r="AB53" i="1"/>
  <c r="AA53" i="1"/>
  <c r="AB52" i="1"/>
  <c r="AA52" i="1"/>
  <c r="AB51" i="1"/>
  <c r="AA51" i="1"/>
  <c r="AB50" i="1"/>
  <c r="AA50" i="1"/>
  <c r="AB49" i="1"/>
  <c r="AA49" i="1"/>
  <c r="AB48" i="1"/>
  <c r="AA48" i="1"/>
  <c r="AB47" i="1"/>
  <c r="AA47" i="1"/>
  <c r="AB46" i="1"/>
  <c r="AA46" i="1"/>
  <c r="AB45" i="1"/>
  <c r="AA45" i="1"/>
  <c r="AB44" i="1"/>
  <c r="AA44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H56" i="1" l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AX33" i="1" l="1"/>
  <c r="AW33" i="1"/>
  <c r="AX32" i="1"/>
  <c r="AW32" i="1"/>
  <c r="AX31" i="1"/>
  <c r="AW31" i="1"/>
  <c r="AX30" i="1"/>
  <c r="AW30" i="1"/>
  <c r="AX29" i="1"/>
  <c r="AW29" i="1"/>
  <c r="AX28" i="1"/>
  <c r="AW28" i="1"/>
  <c r="AX27" i="1"/>
  <c r="AW27" i="1"/>
  <c r="AX26" i="1"/>
  <c r="AW26" i="1"/>
  <c r="AX17" i="1"/>
  <c r="AW17" i="1"/>
  <c r="AX16" i="1"/>
  <c r="AW16" i="1"/>
  <c r="AX15" i="1"/>
  <c r="AW15" i="1"/>
  <c r="AX14" i="1"/>
  <c r="AW1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X65" i="1" s="1"/>
  <c r="AW2" i="1"/>
  <c r="AW65" i="1" s="1"/>
  <c r="AM13" i="1" l="1"/>
  <c r="AL13" i="1"/>
  <c r="H13" i="1"/>
  <c r="G13" i="1"/>
  <c r="R13" i="1"/>
  <c r="Q13" i="1"/>
  <c r="AM33" i="1"/>
  <c r="AL33" i="1"/>
  <c r="AM32" i="1"/>
  <c r="AL32" i="1"/>
  <c r="AM31" i="1"/>
  <c r="AL31" i="1"/>
  <c r="AM30" i="1"/>
  <c r="AL30" i="1"/>
  <c r="AM29" i="1"/>
  <c r="AL29" i="1"/>
  <c r="AM28" i="1"/>
  <c r="AL28" i="1"/>
  <c r="AM27" i="1"/>
  <c r="AL27" i="1"/>
  <c r="AM26" i="1"/>
  <c r="AL26" i="1"/>
  <c r="AM17" i="1"/>
  <c r="AL17" i="1"/>
  <c r="AM16" i="1"/>
  <c r="AL16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17" i="1"/>
  <c r="Q17" i="1"/>
  <c r="R16" i="1"/>
  <c r="Q16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17" i="1"/>
  <c r="G17" i="1"/>
  <c r="H16" i="1"/>
  <c r="G16" i="1"/>
  <c r="Q14" i="1"/>
  <c r="R14" i="1"/>
  <c r="Q15" i="1"/>
  <c r="R15" i="1"/>
  <c r="AB13" i="1"/>
  <c r="AA13" i="1"/>
  <c r="AB33" i="1"/>
  <c r="AA33" i="1"/>
  <c r="AB32" i="1"/>
  <c r="AA32" i="1"/>
  <c r="AB31" i="1"/>
  <c r="AA31" i="1"/>
  <c r="AB30" i="1"/>
  <c r="AA30" i="1"/>
  <c r="AB29" i="1"/>
  <c r="AA29" i="1"/>
  <c r="AB28" i="1"/>
  <c r="AA28" i="1"/>
  <c r="AB27" i="1"/>
  <c r="AA27" i="1"/>
  <c r="AB26" i="1"/>
  <c r="AA26" i="1"/>
  <c r="AB17" i="1"/>
  <c r="AA17" i="1"/>
  <c r="AB16" i="1"/>
  <c r="AA16" i="1"/>
  <c r="AM15" i="1"/>
  <c r="AL15" i="1"/>
  <c r="AM14" i="1"/>
  <c r="AL1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15" i="1"/>
  <c r="AA15" i="1"/>
  <c r="AB14" i="1"/>
  <c r="AA1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14" i="1"/>
  <c r="H15" i="1"/>
  <c r="G3" i="1"/>
  <c r="G4" i="1"/>
  <c r="G5" i="1"/>
  <c r="G14" i="1"/>
  <c r="G15" i="1"/>
  <c r="H2" i="1"/>
  <c r="G2" i="1"/>
  <c r="G65" i="1" l="1"/>
  <c r="H65" i="1"/>
  <c r="AM65" i="1"/>
  <c r="AA65" i="1"/>
  <c r="R65" i="1"/>
  <c r="AB65" i="1"/>
  <c r="Q65" i="1"/>
</calcChain>
</file>

<file path=xl/sharedStrings.xml><?xml version="1.0" encoding="utf-8"?>
<sst xmlns="http://schemas.openxmlformats.org/spreadsheetml/2006/main" count="200" uniqueCount="46">
  <si>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</si>
  <si>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</si>
  <si>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</si>
  <si>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</si>
  <si>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</si>
  <si>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</si>
  <si>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</si>
  <si>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</si>
  <si>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</si>
  <si>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</si>
  <si>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</si>
  <si>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</si>
  <si>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</si>
  <si>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</si>
  <si>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</si>
  <si>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</si>
  <si>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</si>
  <si>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</si>
  <si>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</si>
  <si>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</si>
  <si>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</si>
  <si>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</si>
  <si>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</si>
  <si>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</si>
  <si>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</si>
  <si>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</si>
  <si>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</si>
  <si>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</si>
  <si>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</si>
  <si>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</si>
  <si>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</si>
  <si>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</si>
  <si>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</si>
  <si>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</si>
  <si>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</si>
  <si>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</si>
  <si>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</si>
  <si>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</si>
  <si>
    <t>christian-daniele-muhamad-yosef</t>
  </si>
  <si>
    <t>christian-yosef-muhamad-daniele</t>
  </si>
  <si>
    <t>christian-x-muhamad-yosef</t>
  </si>
  <si>
    <t xml:space="preserve">BR </t>
  </si>
  <si>
    <t>muhamad-yosef3</t>
  </si>
  <si>
    <t>muhamad-yosef4</t>
  </si>
  <si>
    <t>muhamad-yosef5</t>
  </si>
  <si>
    <t>muhamad-yosef6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</si>
</sst>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3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65"/>
  <sheetViews>
    <sheetView tabSelected="1" zoomScaleNormal="100" workbookViewId="0">
      <selection activeCell="AE70" sqref="AE70"/>
    </sheetView>
  </sheetViews>
  <sheetFormatPr defaultRowHeight="15" x14ac:dyDescent="0.25"/>
  <cols>
    <col min="1" max="1" width="18.85546875" customWidth="1"/>
    <col min="2" max="2" width="30.140625" customWidth="1"/>
    <col min="8" max="8" width="10.5703125" customWidth="1"/>
    <col min="9" max="9" width="11.28515625" customWidth="1"/>
    <col min="11" max="11" width="17.42578125" customWidth="1"/>
    <col min="12" max="12" width="30" customWidth="1"/>
    <col min="18" max="18" width="8.7109375" customWidth="1"/>
    <col min="21" max="21" width="16" customWidth="1"/>
    <col min="22" max="22" width="29.85546875" customWidth="1"/>
    <col min="24" max="24" width="9" customWidth="1"/>
    <col min="28" max="28" width="9.140625" customWidth="1"/>
    <col min="32" max="32" width="8" customWidth="1"/>
    <col min="33" max="33" width="30" customWidth="1"/>
    <col min="35" max="35" width="10.28515625" customWidth="1"/>
    <col min="43" max="43" width="18.5703125" customWidth="1"/>
    <col min="44" max="44" width="31.570312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41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25">
      <c r="A2" s="14" t="s">
        <v>14</v>
      </c>
      <c r="B2" s="14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10">
        <f>ABS(E2-F2)</f>
        <v>13.700000000000003</v>
      </c>
      <c r="K2" s="14" t="s">
        <v>13</v>
      </c>
      <c r="L2" s="14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10">
        <f>ABS(O2-P2)</f>
        <v>2.5</v>
      </c>
      <c r="U2" s="14" t="s">
        <v>22</v>
      </c>
      <c r="V2" s="14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10">
        <f>ABS(Y2-Z2)</f>
        <v>2.5</v>
      </c>
      <c r="AF2" s="14" t="s">
        <v>24</v>
      </c>
      <c r="AG2" s="14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10">
        <f>ABS(AJ2-AK2)</f>
        <v>18.299999999999997</v>
      </c>
      <c r="AQ2" s="14" t="s">
        <v>31</v>
      </c>
      <c r="AR2" s="14" t="s">
        <v>0</v>
      </c>
      <c r="AS2" s="9">
        <v>17</v>
      </c>
      <c r="AT2" s="9">
        <v>17</v>
      </c>
      <c r="AU2" s="9">
        <v>105</v>
      </c>
      <c r="AV2" s="9">
        <v>104.4</v>
      </c>
      <c r="AW2" s="9">
        <f>ABS(AS2-AT2)</f>
        <v>0</v>
      </c>
      <c r="AX2" s="10">
        <f>ABS(AU2-AV2)</f>
        <v>0.59999999999999432</v>
      </c>
    </row>
    <row r="3" spans="1:50" x14ac:dyDescent="0.25">
      <c r="B3" s="14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10">
        <f t="shared" ref="H3:H12" si="1">ABS(E3-F3)</f>
        <v>6</v>
      </c>
      <c r="L3" s="14" t="s">
        <v>1</v>
      </c>
      <c r="M3" s="9">
        <v>12</v>
      </c>
      <c r="N3" s="9">
        <v>11.8</v>
      </c>
      <c r="O3" s="9">
        <v>71</v>
      </c>
      <c r="P3" s="9">
        <v>82.5</v>
      </c>
      <c r="Q3" s="9">
        <f t="shared" ref="Q3:Q12" si="2">ABS(M3-N3)</f>
        <v>0.19999999999999929</v>
      </c>
      <c r="R3" s="10">
        <f t="shared" ref="R3:R12" si="3">ABS(O3-P3)</f>
        <v>11.5</v>
      </c>
      <c r="V3" s="14" t="s">
        <v>1</v>
      </c>
      <c r="W3" s="9">
        <v>12</v>
      </c>
      <c r="X3" s="9">
        <v>10.199999999999999</v>
      </c>
      <c r="Y3" s="9">
        <v>71</v>
      </c>
      <c r="Z3" s="9">
        <v>110.6</v>
      </c>
      <c r="AA3" s="9">
        <f t="shared" ref="AA3:AA12" si="4">ABS(W3-X3)</f>
        <v>1.8000000000000007</v>
      </c>
      <c r="AB3" s="10">
        <f t="shared" ref="AB3:AB12" si="5">ABS(Y3-Z3)</f>
        <v>39.599999999999994</v>
      </c>
      <c r="AG3" s="14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10">
        <f t="shared" ref="AM3:AM12" si="7">ABS(AJ3-AK3)</f>
        <v>10</v>
      </c>
      <c r="AR3" s="14" t="s">
        <v>1</v>
      </c>
      <c r="AS3" s="9">
        <v>12</v>
      </c>
      <c r="AT3" s="9">
        <v>11</v>
      </c>
      <c r="AU3" s="9">
        <v>71</v>
      </c>
      <c r="AV3" s="9">
        <v>80</v>
      </c>
      <c r="AW3" s="9">
        <f t="shared" ref="AW3:AW12" si="8">ABS(AS3-AT3)</f>
        <v>1</v>
      </c>
      <c r="AX3" s="10">
        <f t="shared" ref="AX3:AX12" si="9">ABS(AU3-AV3)</f>
        <v>9</v>
      </c>
    </row>
    <row r="4" spans="1:50" x14ac:dyDescent="0.25">
      <c r="B4" s="14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10">
        <f t="shared" si="1"/>
        <v>3</v>
      </c>
      <c r="L4" s="14" t="s">
        <v>2</v>
      </c>
      <c r="M4" s="9">
        <v>16.5</v>
      </c>
      <c r="N4" s="9">
        <v>16.7</v>
      </c>
      <c r="O4" s="9">
        <v>100</v>
      </c>
      <c r="P4" s="9">
        <v>100</v>
      </c>
      <c r="Q4" s="9">
        <f t="shared" si="2"/>
        <v>0.19999999999999929</v>
      </c>
      <c r="R4" s="10">
        <f t="shared" si="3"/>
        <v>0</v>
      </c>
      <c r="V4" s="14" t="s">
        <v>2</v>
      </c>
      <c r="W4" s="9">
        <v>16.5</v>
      </c>
      <c r="X4" s="9">
        <v>16.100000000000001</v>
      </c>
      <c r="Y4" s="9">
        <v>100</v>
      </c>
      <c r="Z4" s="9">
        <v>102.5</v>
      </c>
      <c r="AA4" s="9">
        <f t="shared" si="4"/>
        <v>0.39999999999999858</v>
      </c>
      <c r="AB4" s="10">
        <f t="shared" si="5"/>
        <v>2.5</v>
      </c>
      <c r="AG4" s="14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10">
        <f t="shared" si="7"/>
        <v>53.300000000000011</v>
      </c>
      <c r="AR4" s="14" t="s">
        <v>2</v>
      </c>
      <c r="AS4" s="9">
        <v>16.5</v>
      </c>
      <c r="AT4" s="9">
        <v>16.3</v>
      </c>
      <c r="AU4" s="9">
        <v>100</v>
      </c>
      <c r="AV4" s="9">
        <v>104</v>
      </c>
      <c r="AW4" s="9">
        <f t="shared" si="8"/>
        <v>0.19999999999999929</v>
      </c>
      <c r="AX4" s="10">
        <f t="shared" si="9"/>
        <v>4</v>
      </c>
    </row>
    <row r="5" spans="1:50" x14ac:dyDescent="0.25">
      <c r="B5" s="14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10">
        <f t="shared" si="1"/>
        <v>20.799999999999997</v>
      </c>
      <c r="L5" s="14" t="s">
        <v>3</v>
      </c>
      <c r="M5" s="9">
        <v>12.5</v>
      </c>
      <c r="N5" s="9">
        <v>12</v>
      </c>
      <c r="O5" s="9">
        <v>64</v>
      </c>
      <c r="P5" s="9">
        <v>66</v>
      </c>
      <c r="Q5" s="9">
        <f t="shared" si="2"/>
        <v>0.5</v>
      </c>
      <c r="R5" s="10">
        <f t="shared" si="3"/>
        <v>2</v>
      </c>
      <c r="V5" s="14" t="s">
        <v>3</v>
      </c>
      <c r="W5" s="9">
        <v>12.5</v>
      </c>
      <c r="X5" s="9">
        <v>11.7</v>
      </c>
      <c r="Y5" s="9">
        <v>64</v>
      </c>
      <c r="Z5" s="9">
        <v>99.6</v>
      </c>
      <c r="AA5" s="9">
        <f t="shared" si="4"/>
        <v>0.80000000000000071</v>
      </c>
      <c r="AB5" s="10">
        <f t="shared" si="5"/>
        <v>35.599999999999994</v>
      </c>
      <c r="AG5" s="14" t="s">
        <v>3</v>
      </c>
      <c r="AH5" s="9">
        <v>12.5</v>
      </c>
      <c r="AI5" s="9"/>
      <c r="AJ5" s="9">
        <v>64</v>
      </c>
      <c r="AK5" s="9">
        <v>64.3</v>
      </c>
      <c r="AL5" s="9">
        <f t="shared" si="6"/>
        <v>12.5</v>
      </c>
      <c r="AM5" s="10">
        <f t="shared" si="7"/>
        <v>0.29999999999999716</v>
      </c>
      <c r="AR5" s="14" t="s">
        <v>3</v>
      </c>
      <c r="AS5" s="9">
        <v>12.5</v>
      </c>
      <c r="AT5" s="9">
        <v>12</v>
      </c>
      <c r="AU5" s="9">
        <v>64</v>
      </c>
      <c r="AV5" s="9">
        <v>66</v>
      </c>
      <c r="AW5" s="9">
        <f t="shared" si="8"/>
        <v>0.5</v>
      </c>
      <c r="AX5" s="10">
        <f t="shared" si="9"/>
        <v>2</v>
      </c>
    </row>
    <row r="6" spans="1:50" x14ac:dyDescent="0.25">
      <c r="B6" s="14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10">
        <f t="shared" si="1"/>
        <v>3</v>
      </c>
      <c r="K6" s="11"/>
      <c r="L6" s="14" t="s">
        <v>15</v>
      </c>
      <c r="M6" s="9">
        <v>15</v>
      </c>
      <c r="N6" s="9">
        <v>13.7</v>
      </c>
      <c r="O6" s="9">
        <v>107</v>
      </c>
      <c r="P6" s="9">
        <v>105</v>
      </c>
      <c r="Q6" s="9">
        <f t="shared" si="2"/>
        <v>1.3000000000000007</v>
      </c>
      <c r="R6" s="10">
        <f t="shared" si="3"/>
        <v>2</v>
      </c>
      <c r="V6" s="14" t="s">
        <v>15</v>
      </c>
      <c r="W6" s="9">
        <v>15</v>
      </c>
      <c r="X6" s="9">
        <v>14.6</v>
      </c>
      <c r="Y6" s="9">
        <v>107</v>
      </c>
      <c r="Z6" s="9">
        <v>103.2</v>
      </c>
      <c r="AA6" s="9">
        <f t="shared" si="4"/>
        <v>0.40000000000000036</v>
      </c>
      <c r="AB6" s="10">
        <f t="shared" si="5"/>
        <v>3.7999999999999972</v>
      </c>
      <c r="AG6" s="14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10">
        <f t="shared" si="7"/>
        <v>109</v>
      </c>
      <c r="AR6" s="14" t="s">
        <v>15</v>
      </c>
      <c r="AS6" s="9">
        <v>15</v>
      </c>
      <c r="AT6" s="9">
        <v>14.5</v>
      </c>
      <c r="AU6" s="9">
        <v>107</v>
      </c>
      <c r="AV6" s="9">
        <v>105</v>
      </c>
      <c r="AW6" s="9">
        <f t="shared" si="8"/>
        <v>0.5</v>
      </c>
      <c r="AX6" s="10">
        <f t="shared" si="9"/>
        <v>2</v>
      </c>
    </row>
    <row r="7" spans="1:50" x14ac:dyDescent="0.2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9">
        <v>21.9</v>
      </c>
      <c r="Y7" s="9">
        <v>108</v>
      </c>
      <c r="Z7" s="9">
        <v>108</v>
      </c>
      <c r="AA7" s="17">
        <f t="shared" si="4"/>
        <v>9.9999999999997868E-2</v>
      </c>
      <c r="AB7" s="10">
        <f t="shared" si="5"/>
        <v>0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91.8</v>
      </c>
      <c r="AW7" s="9">
        <f t="shared" si="8"/>
        <v>0</v>
      </c>
      <c r="AX7" s="10">
        <f t="shared" si="9"/>
        <v>16.200000000000003</v>
      </c>
    </row>
    <row r="8" spans="1:50" x14ac:dyDescent="0.2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24.5</v>
      </c>
      <c r="Y8" s="9">
        <v>110</v>
      </c>
      <c r="Z8" s="9">
        <v>111</v>
      </c>
      <c r="AA8" s="17">
        <f t="shared" si="4"/>
        <v>0</v>
      </c>
      <c r="AB8" s="10">
        <f t="shared" si="5"/>
        <v>1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23</v>
      </c>
      <c r="AU8" s="9">
        <v>110</v>
      </c>
      <c r="AV8" s="9">
        <v>81</v>
      </c>
      <c r="AW8" s="9">
        <f t="shared" si="8"/>
        <v>1.5</v>
      </c>
      <c r="AX8" s="10">
        <f t="shared" si="9"/>
        <v>29</v>
      </c>
    </row>
    <row r="9" spans="1:50" x14ac:dyDescent="0.2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100.7</v>
      </c>
      <c r="AA9" s="9">
        <f t="shared" si="4"/>
        <v>1.5</v>
      </c>
      <c r="AB9" s="10">
        <f t="shared" si="5"/>
        <v>12.299999999999997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71.2</v>
      </c>
      <c r="AW9" s="9">
        <f t="shared" si="8"/>
        <v>1.1999999999999993</v>
      </c>
      <c r="AX9" s="10">
        <f t="shared" si="9"/>
        <v>41.8</v>
      </c>
    </row>
    <row r="10" spans="1:50" x14ac:dyDescent="0.2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105.1</v>
      </c>
      <c r="AA10" s="9">
        <f t="shared" si="4"/>
        <v>0.60000000000000142</v>
      </c>
      <c r="AB10" s="10">
        <f t="shared" si="5"/>
        <v>4.9000000000000057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75.5</v>
      </c>
      <c r="AW10" s="9">
        <f t="shared" si="8"/>
        <v>0</v>
      </c>
      <c r="AX10" s="10">
        <f t="shared" si="9"/>
        <v>34.5</v>
      </c>
    </row>
    <row r="11" spans="1:50" x14ac:dyDescent="0.2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92.3</v>
      </c>
      <c r="AA11" s="9">
        <f t="shared" si="4"/>
        <v>0.5</v>
      </c>
      <c r="AB11" s="10">
        <f t="shared" si="5"/>
        <v>9.7000000000000028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56</v>
      </c>
      <c r="AW11" s="9">
        <f t="shared" si="8"/>
        <v>0.5</v>
      </c>
      <c r="AX11" s="10">
        <f t="shared" si="9"/>
        <v>46</v>
      </c>
    </row>
    <row r="12" spans="1:50" x14ac:dyDescent="0.2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13.2</v>
      </c>
      <c r="Y12" s="9">
        <v>104</v>
      </c>
      <c r="Z12" s="9">
        <v>102.5</v>
      </c>
      <c r="AA12" s="9">
        <f t="shared" si="4"/>
        <v>0.19999999999999929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65</v>
      </c>
      <c r="AW12" s="9">
        <f t="shared" si="8"/>
        <v>0.19999999999999929</v>
      </c>
      <c r="AX12" s="10">
        <f t="shared" si="9"/>
        <v>39</v>
      </c>
    </row>
    <row r="13" spans="1:50" x14ac:dyDescent="0.25">
      <c r="B13" s="14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10">
        <f>ABS(E13-F13)</f>
        <v>1.9000000000000057</v>
      </c>
      <c r="L13" s="14" t="s">
        <v>30</v>
      </c>
      <c r="M13" s="9">
        <v>10</v>
      </c>
      <c r="N13" s="9">
        <v>8.1</v>
      </c>
      <c r="O13" s="9">
        <v>90</v>
      </c>
      <c r="P13" s="9">
        <v>64</v>
      </c>
      <c r="Q13" s="9">
        <f>ABS(M13-N13)</f>
        <v>1.9000000000000004</v>
      </c>
      <c r="R13" s="10">
        <f>ABS(O13-P13)</f>
        <v>26</v>
      </c>
      <c r="V13" s="14" t="s">
        <v>30</v>
      </c>
      <c r="W13" s="9">
        <v>10</v>
      </c>
      <c r="X13" s="9">
        <v>8.8000000000000007</v>
      </c>
      <c r="Y13" s="9">
        <v>90</v>
      </c>
      <c r="Z13" s="9">
        <v>106.9</v>
      </c>
      <c r="AA13" s="9">
        <f>ABS(W13-X13)</f>
        <v>1.1999999999999993</v>
      </c>
      <c r="AB13" s="10">
        <f>ABS(Y13-Z13)</f>
        <v>16.900000000000006</v>
      </c>
      <c r="AG13" s="14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10">
        <f>ABS(AJ13-AK13)</f>
        <v>10.5</v>
      </c>
      <c r="AR13" s="14" t="s">
        <v>30</v>
      </c>
      <c r="AS13" s="9">
        <v>10</v>
      </c>
      <c r="AT13" s="9">
        <v>9</v>
      </c>
      <c r="AU13" s="9">
        <v>90</v>
      </c>
      <c r="AV13" s="9">
        <v>66.5</v>
      </c>
      <c r="AW13" s="9">
        <f>ABS(AS13-AT13)</f>
        <v>1</v>
      </c>
      <c r="AX13" s="10">
        <f>ABS(AU13-AV13)</f>
        <v>23.5</v>
      </c>
    </row>
    <row r="14" spans="1:50" x14ac:dyDescent="0.25">
      <c r="A14" s="2"/>
      <c r="B14" s="12" t="s">
        <v>4</v>
      </c>
      <c r="C14">
        <v>12</v>
      </c>
      <c r="D14">
        <v>11</v>
      </c>
      <c r="E14">
        <v>67</v>
      </c>
      <c r="F14">
        <v>69</v>
      </c>
      <c r="G14">
        <f>ABS(C14-D14)</f>
        <v>1</v>
      </c>
      <c r="H14" s="13">
        <f>ABS(E14-F14)</f>
        <v>2</v>
      </c>
      <c r="L14" s="12" t="s">
        <v>4</v>
      </c>
      <c r="M14">
        <v>12</v>
      </c>
      <c r="N14">
        <v>11.7</v>
      </c>
      <c r="O14">
        <v>67</v>
      </c>
      <c r="P14">
        <v>50</v>
      </c>
      <c r="Q14">
        <f>ABS(M14-N14)</f>
        <v>0.30000000000000071</v>
      </c>
      <c r="R14" s="13">
        <f>ABS(O14-P14)</f>
        <v>17</v>
      </c>
      <c r="V14" s="12" t="s">
        <v>4</v>
      </c>
      <c r="W14">
        <v>12</v>
      </c>
      <c r="X14">
        <v>11.7</v>
      </c>
      <c r="Y14">
        <v>67</v>
      </c>
      <c r="Z14">
        <v>109.9</v>
      </c>
      <c r="AA14">
        <f>ABS(W14-X14)</f>
        <v>0.30000000000000071</v>
      </c>
      <c r="AB14" s="13">
        <f>ABS(Y14-Z14)</f>
        <v>42.900000000000006</v>
      </c>
      <c r="AG14" s="12" t="s">
        <v>4</v>
      </c>
      <c r="AH14">
        <v>12</v>
      </c>
      <c r="AJ14">
        <v>67</v>
      </c>
      <c r="AK14">
        <v>69.7</v>
      </c>
      <c r="AL14">
        <f>ABS(AH14-AI14)</f>
        <v>12</v>
      </c>
      <c r="AM14" s="13">
        <f>ABS(AJ14-AK14)</f>
        <v>2.7000000000000028</v>
      </c>
      <c r="AQ14" s="2"/>
      <c r="AR14" s="12" t="s">
        <v>4</v>
      </c>
      <c r="AS14">
        <v>12</v>
      </c>
      <c r="AT14">
        <v>11.5</v>
      </c>
      <c r="AU14">
        <v>67</v>
      </c>
      <c r="AV14">
        <v>70</v>
      </c>
      <c r="AW14">
        <f>ABS(AS14-AT14)</f>
        <v>0.5</v>
      </c>
      <c r="AX14" s="13">
        <f>ABS(AU14-AV14)</f>
        <v>3</v>
      </c>
    </row>
    <row r="15" spans="1:50" x14ac:dyDescent="0.25">
      <c r="B15" s="6"/>
      <c r="C15" s="7">
        <v>16.5</v>
      </c>
      <c r="D15" s="7">
        <v>16.5</v>
      </c>
      <c r="E15" s="7">
        <v>105</v>
      </c>
      <c r="F15" s="7">
        <v>116.8</v>
      </c>
      <c r="G15" s="7">
        <f>ABS(C15-D15)</f>
        <v>0</v>
      </c>
      <c r="H15" s="8">
        <f>ABS(E15-F15)</f>
        <v>11.799999999999997</v>
      </c>
      <c r="L15" s="6"/>
      <c r="M15" s="7">
        <v>16.5</v>
      </c>
      <c r="N15" s="7">
        <v>16.7</v>
      </c>
      <c r="O15" s="7">
        <v>105</v>
      </c>
      <c r="P15" s="7">
        <v>61</v>
      </c>
      <c r="Q15" s="7">
        <f>ABS(M15-N15)</f>
        <v>0.19999999999999929</v>
      </c>
      <c r="R15" s="8">
        <f>ABS(O15-P15)</f>
        <v>44</v>
      </c>
      <c r="V15" s="6"/>
      <c r="W15" s="7">
        <v>16.5</v>
      </c>
      <c r="X15" s="7">
        <v>16.100000000000001</v>
      </c>
      <c r="Y15" s="7">
        <v>105</v>
      </c>
      <c r="Z15" s="7">
        <v>104</v>
      </c>
      <c r="AA15" s="7">
        <f>ABS(W15-X15)</f>
        <v>0.39999999999999858</v>
      </c>
      <c r="AB15" s="8">
        <f>ABS(Y15-Z15)</f>
        <v>1</v>
      </c>
      <c r="AG15" s="6"/>
      <c r="AH15" s="7">
        <v>16.5</v>
      </c>
      <c r="AI15" s="7"/>
      <c r="AJ15" s="7">
        <v>105</v>
      </c>
      <c r="AK15" s="7">
        <v>90</v>
      </c>
      <c r="AL15" s="7">
        <f>ABS(AH15-AI15)</f>
        <v>16.5</v>
      </c>
      <c r="AM15" s="8">
        <f>ABS(AJ15-AK15)</f>
        <v>15</v>
      </c>
      <c r="AR15" s="6"/>
      <c r="AS15" s="7">
        <v>16.5</v>
      </c>
      <c r="AT15" s="7">
        <v>16.3</v>
      </c>
      <c r="AU15" s="7">
        <v>105</v>
      </c>
      <c r="AV15" s="7">
        <v>93</v>
      </c>
      <c r="AW15" s="7">
        <f>ABS(AS15-AT15)</f>
        <v>0.19999999999999929</v>
      </c>
      <c r="AX15" s="8">
        <f>ABS(AU15-AV15)</f>
        <v>12</v>
      </c>
    </row>
    <row r="16" spans="1:50" x14ac:dyDescent="0.25">
      <c r="B16" s="3" t="s">
        <v>25</v>
      </c>
      <c r="C16" s="4">
        <v>14</v>
      </c>
      <c r="D16" s="4">
        <v>14</v>
      </c>
      <c r="E16" s="4">
        <v>75</v>
      </c>
      <c r="F16" s="4">
        <v>80</v>
      </c>
      <c r="G16" s="4">
        <f>ABS(C16-D16)</f>
        <v>0</v>
      </c>
      <c r="H16" s="5">
        <f t="shared" ref="H16:H25" si="10">ABS(E16-F16)</f>
        <v>5</v>
      </c>
      <c r="L16" s="3" t="s">
        <v>25</v>
      </c>
      <c r="M16" s="4">
        <v>14</v>
      </c>
      <c r="N16" s="4">
        <v>13.2</v>
      </c>
      <c r="O16" s="4">
        <v>75</v>
      </c>
      <c r="P16" s="4">
        <v>50.5</v>
      </c>
      <c r="Q16" s="4">
        <f>ABS(M16-N16)</f>
        <v>0.80000000000000071</v>
      </c>
      <c r="R16" s="5">
        <f t="shared" ref="R16:R25" si="11">ABS(O16-P16)</f>
        <v>24.5</v>
      </c>
      <c r="V16" s="3" t="s">
        <v>25</v>
      </c>
      <c r="W16" s="4">
        <v>14</v>
      </c>
      <c r="X16" s="4">
        <v>11.7</v>
      </c>
      <c r="Y16" s="4">
        <v>75</v>
      </c>
      <c r="Z16" s="4">
        <v>107.3</v>
      </c>
      <c r="AA16" s="4">
        <f>ABS(W16-X16)</f>
        <v>2.3000000000000007</v>
      </c>
      <c r="AB16" s="5">
        <f t="shared" ref="AB16:AB25" si="12">ABS(Y16-Z16)</f>
        <v>32.299999999999997</v>
      </c>
      <c r="AG16" s="3" t="s">
        <v>25</v>
      </c>
      <c r="AH16" s="4">
        <v>14</v>
      </c>
      <c r="AI16" s="4"/>
      <c r="AJ16" s="4">
        <v>75</v>
      </c>
      <c r="AK16" s="4">
        <v>70.3</v>
      </c>
      <c r="AL16" s="4">
        <f>ABS(AH16-AI16)</f>
        <v>14</v>
      </c>
      <c r="AM16" s="5">
        <f t="shared" ref="AM16:AM25" si="13">ABS(AJ16-AK16)</f>
        <v>4.7000000000000028</v>
      </c>
      <c r="AR16" s="3" t="s">
        <v>25</v>
      </c>
      <c r="AS16" s="4">
        <v>14</v>
      </c>
      <c r="AT16" s="4">
        <v>14.5</v>
      </c>
      <c r="AU16" s="4">
        <v>75</v>
      </c>
      <c r="AV16" s="4">
        <v>67.3</v>
      </c>
      <c r="AW16" s="4">
        <f>ABS(AS16-AT16)</f>
        <v>0.5</v>
      </c>
      <c r="AX16" s="5">
        <f t="shared" ref="AX16:AX25" si="14">ABS(AU16-AV16)</f>
        <v>7.7000000000000028</v>
      </c>
    </row>
    <row r="17" spans="2:50" x14ac:dyDescent="0.25">
      <c r="B17" s="6"/>
      <c r="C17" s="7">
        <v>20.5</v>
      </c>
      <c r="D17" s="7">
        <v>20.5</v>
      </c>
      <c r="E17" s="7">
        <v>105</v>
      </c>
      <c r="F17" s="7">
        <v>114</v>
      </c>
      <c r="G17">
        <f>ABS(C17-D17)</f>
        <v>0</v>
      </c>
      <c r="H17" s="13">
        <f t="shared" si="10"/>
        <v>9</v>
      </c>
      <c r="L17" s="6"/>
      <c r="M17" s="7">
        <v>20.5</v>
      </c>
      <c r="N17" s="7">
        <v>21</v>
      </c>
      <c r="O17" s="7">
        <v>105</v>
      </c>
      <c r="P17" s="7">
        <v>48.5</v>
      </c>
      <c r="Q17" s="7">
        <f>ABS(M17-N17)</f>
        <v>0.5</v>
      </c>
      <c r="R17" s="8">
        <f t="shared" si="11"/>
        <v>56.5</v>
      </c>
      <c r="V17" s="6"/>
      <c r="W17" s="7">
        <v>20.5</v>
      </c>
      <c r="X17" s="7">
        <v>20.5</v>
      </c>
      <c r="Y17" s="7">
        <v>105</v>
      </c>
      <c r="Z17" s="7">
        <v>104.3</v>
      </c>
      <c r="AA17" s="7">
        <f>ABS(W17-X17)</f>
        <v>0</v>
      </c>
      <c r="AB17" s="8">
        <f t="shared" si="12"/>
        <v>0.70000000000000284</v>
      </c>
      <c r="AG17" s="6"/>
      <c r="AH17" s="7">
        <v>20.5</v>
      </c>
      <c r="AI17" s="7"/>
      <c r="AJ17" s="7">
        <v>105</v>
      </c>
      <c r="AK17" s="7">
        <v>157</v>
      </c>
      <c r="AL17" s="7">
        <f>ABS(AH17-AI17)</f>
        <v>20.5</v>
      </c>
      <c r="AM17" s="8">
        <f t="shared" si="13"/>
        <v>52</v>
      </c>
      <c r="AR17" s="6"/>
      <c r="AS17" s="7">
        <v>20.5</v>
      </c>
      <c r="AT17" s="7">
        <v>20.3</v>
      </c>
      <c r="AU17" s="7">
        <v>105</v>
      </c>
      <c r="AV17" s="7">
        <v>113</v>
      </c>
      <c r="AW17" s="7">
        <f>ABS(AS17-AT17)</f>
        <v>0.19999999999999929</v>
      </c>
      <c r="AX17" s="8">
        <f t="shared" si="14"/>
        <v>8</v>
      </c>
    </row>
    <row r="18" spans="2:50" x14ac:dyDescent="0.25">
      <c r="B18" s="3" t="s">
        <v>42</v>
      </c>
      <c r="C18" s="4">
        <v>8.4</v>
      </c>
      <c r="D18" s="4">
        <v>7.7</v>
      </c>
      <c r="E18" s="4">
        <v>65</v>
      </c>
      <c r="F18" s="4">
        <v>77.2</v>
      </c>
      <c r="G18" s="4">
        <f t="shared" ref="G18:G25" si="15">ABS(C18-D18)</f>
        <v>0.70000000000000018</v>
      </c>
      <c r="H18" s="5">
        <f t="shared" si="10"/>
        <v>12.200000000000003</v>
      </c>
      <c r="L18" s="3" t="s">
        <v>42</v>
      </c>
      <c r="M18" s="4">
        <v>8.4</v>
      </c>
      <c r="N18" s="4">
        <v>9.1</v>
      </c>
      <c r="O18" s="4">
        <v>65</v>
      </c>
      <c r="P18" s="4">
        <v>67.599999999999994</v>
      </c>
      <c r="Q18" s="4">
        <f t="shared" ref="Q18:Q25" si="16">ABS(M18-N18)</f>
        <v>0.69999999999999929</v>
      </c>
      <c r="R18" s="5">
        <f t="shared" si="11"/>
        <v>2.5999999999999943</v>
      </c>
      <c r="V18" s="3" t="s">
        <v>42</v>
      </c>
      <c r="W18" s="4">
        <v>8.4</v>
      </c>
      <c r="X18" s="4">
        <v>8.1999999999999993</v>
      </c>
      <c r="Y18" s="4">
        <v>65</v>
      </c>
      <c r="Z18" s="4">
        <v>82.3</v>
      </c>
      <c r="AA18" s="4">
        <f t="shared" ref="AA18:AA25" si="17">ABS(W18-X18)</f>
        <v>0.20000000000000107</v>
      </c>
      <c r="AB18" s="5">
        <f t="shared" si="12"/>
        <v>17.299999999999997</v>
      </c>
      <c r="AG18" s="3" t="s">
        <v>42</v>
      </c>
      <c r="AH18" s="4">
        <v>8.4</v>
      </c>
      <c r="AI18" s="4"/>
      <c r="AJ18" s="4">
        <v>65</v>
      </c>
      <c r="AK18" s="4">
        <v>250</v>
      </c>
      <c r="AL18" s="4">
        <f t="shared" ref="AL18:AL25" si="18">ABS(AH18-AI18)</f>
        <v>8.4</v>
      </c>
      <c r="AM18" s="5">
        <f t="shared" si="13"/>
        <v>185</v>
      </c>
      <c r="AR18" s="3" t="s">
        <v>42</v>
      </c>
      <c r="AS18" s="4">
        <v>8.4</v>
      </c>
      <c r="AT18" s="4">
        <v>7.8</v>
      </c>
      <c r="AU18" s="4">
        <v>65</v>
      </c>
      <c r="AV18" s="4">
        <v>70.5</v>
      </c>
      <c r="AW18" s="4">
        <f t="shared" ref="AW18:AW25" si="19">ABS(AS18-AT18)</f>
        <v>0.60000000000000053</v>
      </c>
      <c r="AX18" s="5">
        <f t="shared" si="14"/>
        <v>5.5</v>
      </c>
    </row>
    <row r="19" spans="2:50" x14ac:dyDescent="0.25">
      <c r="B19" s="6"/>
      <c r="C19" s="7">
        <v>8</v>
      </c>
      <c r="D19" s="7">
        <v>8</v>
      </c>
      <c r="E19" s="7">
        <v>94</v>
      </c>
      <c r="F19" s="7">
        <v>81.7</v>
      </c>
      <c r="G19" s="7">
        <f t="shared" si="15"/>
        <v>0</v>
      </c>
      <c r="H19" s="8">
        <f t="shared" si="10"/>
        <v>12.299999999999997</v>
      </c>
      <c r="L19" s="6"/>
      <c r="M19" s="7">
        <v>8</v>
      </c>
      <c r="N19" s="7">
        <v>9</v>
      </c>
      <c r="O19" s="7">
        <v>94</v>
      </c>
      <c r="P19" s="7">
        <v>101.2</v>
      </c>
      <c r="Q19" s="7">
        <f t="shared" si="16"/>
        <v>1</v>
      </c>
      <c r="R19" s="8">
        <f t="shared" si="11"/>
        <v>7.2000000000000028</v>
      </c>
      <c r="V19" s="6"/>
      <c r="W19" s="7">
        <v>8</v>
      </c>
      <c r="X19" s="7">
        <v>7</v>
      </c>
      <c r="Y19" s="7">
        <v>94</v>
      </c>
      <c r="Z19" s="7">
        <v>97.9</v>
      </c>
      <c r="AA19" s="7">
        <f t="shared" si="17"/>
        <v>1</v>
      </c>
      <c r="AB19" s="8">
        <f t="shared" si="12"/>
        <v>3.9000000000000057</v>
      </c>
      <c r="AG19" s="6"/>
      <c r="AH19" s="7">
        <v>8</v>
      </c>
      <c r="AI19" s="7"/>
      <c r="AJ19" s="7">
        <v>94</v>
      </c>
      <c r="AK19" s="7">
        <v>117.3</v>
      </c>
      <c r="AL19" s="7">
        <f t="shared" si="18"/>
        <v>8</v>
      </c>
      <c r="AM19" s="8">
        <f t="shared" si="13"/>
        <v>23.299999999999997</v>
      </c>
      <c r="AR19" s="6"/>
      <c r="AS19" s="7">
        <v>8</v>
      </c>
      <c r="AT19" s="7">
        <v>8</v>
      </c>
      <c r="AU19" s="7">
        <v>94</v>
      </c>
      <c r="AV19" s="7">
        <v>75.2</v>
      </c>
      <c r="AW19" s="7">
        <f t="shared" si="19"/>
        <v>0</v>
      </c>
      <c r="AX19" s="8">
        <f t="shared" si="14"/>
        <v>18.799999999999997</v>
      </c>
    </row>
    <row r="20" spans="2:50" x14ac:dyDescent="0.25">
      <c r="B20" s="3" t="s">
        <v>43</v>
      </c>
      <c r="C20" s="4">
        <v>8</v>
      </c>
      <c r="D20" s="4">
        <v>7.2</v>
      </c>
      <c r="E20" s="4">
        <v>64</v>
      </c>
      <c r="F20" s="4">
        <v>69.3</v>
      </c>
      <c r="G20" s="4">
        <f t="shared" si="15"/>
        <v>0.79999999999999982</v>
      </c>
      <c r="H20" s="5">
        <f t="shared" si="10"/>
        <v>5.2999999999999972</v>
      </c>
      <c r="L20" s="3" t="s">
        <v>43</v>
      </c>
      <c r="M20" s="4">
        <v>8</v>
      </c>
      <c r="N20" s="4">
        <v>7</v>
      </c>
      <c r="O20" s="4">
        <v>64</v>
      </c>
      <c r="P20" s="4">
        <v>63.2</v>
      </c>
      <c r="Q20" s="4">
        <f t="shared" si="16"/>
        <v>1</v>
      </c>
      <c r="R20" s="5">
        <f t="shared" si="11"/>
        <v>0.79999999999999716</v>
      </c>
      <c r="V20" s="3" t="s">
        <v>43</v>
      </c>
      <c r="W20" s="4">
        <v>8</v>
      </c>
      <c r="X20" s="4">
        <v>7</v>
      </c>
      <c r="Y20" s="4">
        <v>64</v>
      </c>
      <c r="Z20" s="4">
        <v>85.5</v>
      </c>
      <c r="AA20" s="4">
        <f t="shared" si="17"/>
        <v>1</v>
      </c>
      <c r="AB20" s="5">
        <f t="shared" si="12"/>
        <v>21.5</v>
      </c>
      <c r="AG20" s="3" t="s">
        <v>43</v>
      </c>
      <c r="AH20" s="4">
        <v>8</v>
      </c>
      <c r="AI20" s="4"/>
      <c r="AJ20" s="4">
        <v>64</v>
      </c>
      <c r="AK20" s="4">
        <v>78</v>
      </c>
      <c r="AL20" s="4">
        <f t="shared" si="18"/>
        <v>8</v>
      </c>
      <c r="AM20" s="5">
        <f t="shared" si="13"/>
        <v>14</v>
      </c>
      <c r="AR20" s="3" t="s">
        <v>43</v>
      </c>
      <c r="AS20" s="4">
        <v>8</v>
      </c>
      <c r="AT20" s="4">
        <v>7.2</v>
      </c>
      <c r="AU20" s="4">
        <v>64</v>
      </c>
      <c r="AV20" s="4">
        <v>65.3</v>
      </c>
      <c r="AW20" s="4">
        <f t="shared" si="19"/>
        <v>0.79999999999999982</v>
      </c>
      <c r="AX20" s="5">
        <f t="shared" si="14"/>
        <v>1.2999999999999972</v>
      </c>
    </row>
    <row r="21" spans="2:50" x14ac:dyDescent="0.25">
      <c r="B21" s="6"/>
      <c r="C21" s="7">
        <v>8</v>
      </c>
      <c r="D21">
        <v>7.5</v>
      </c>
      <c r="E21" s="7">
        <v>87</v>
      </c>
      <c r="F21" s="7">
        <v>76.599999999999994</v>
      </c>
      <c r="G21" s="7">
        <f t="shared" si="15"/>
        <v>0.5</v>
      </c>
      <c r="H21" s="8">
        <f t="shared" si="10"/>
        <v>10.400000000000006</v>
      </c>
      <c r="L21" s="6"/>
      <c r="M21" s="7">
        <v>8</v>
      </c>
      <c r="N21" s="7">
        <v>9.5</v>
      </c>
      <c r="O21" s="7">
        <v>87</v>
      </c>
      <c r="P21" s="7">
        <v>94.8</v>
      </c>
      <c r="Q21" s="7">
        <f t="shared" si="16"/>
        <v>1.5</v>
      </c>
      <c r="R21" s="8">
        <f t="shared" si="11"/>
        <v>7.7999999999999972</v>
      </c>
      <c r="V21" s="6"/>
      <c r="W21" s="7">
        <v>8</v>
      </c>
      <c r="X21" s="7">
        <v>7.9</v>
      </c>
      <c r="Y21" s="7">
        <v>87</v>
      </c>
      <c r="Z21" s="7">
        <v>82.6</v>
      </c>
      <c r="AA21" s="7">
        <f t="shared" si="17"/>
        <v>9.9999999999999645E-2</v>
      </c>
      <c r="AB21" s="8">
        <f t="shared" si="12"/>
        <v>4.4000000000000057</v>
      </c>
      <c r="AG21" s="6"/>
      <c r="AH21" s="7">
        <v>8</v>
      </c>
      <c r="AI21" s="7"/>
      <c r="AJ21" s="7">
        <v>87</v>
      </c>
      <c r="AK21" s="7">
        <v>117</v>
      </c>
      <c r="AL21" s="7">
        <f t="shared" si="18"/>
        <v>8</v>
      </c>
      <c r="AM21" s="8">
        <f t="shared" si="13"/>
        <v>30</v>
      </c>
      <c r="AR21" s="6"/>
      <c r="AS21" s="7">
        <v>8</v>
      </c>
      <c r="AT21" s="7">
        <v>9</v>
      </c>
      <c r="AU21" s="7">
        <v>87</v>
      </c>
      <c r="AV21" s="7">
        <v>84.9</v>
      </c>
      <c r="AW21" s="7">
        <f t="shared" si="19"/>
        <v>1</v>
      </c>
      <c r="AX21" s="8">
        <f t="shared" si="14"/>
        <v>2.0999999999999943</v>
      </c>
    </row>
    <row r="22" spans="2:50" x14ac:dyDescent="0.25">
      <c r="B22" s="3" t="s">
        <v>44</v>
      </c>
      <c r="C22" s="4">
        <v>7.6</v>
      </c>
      <c r="D22" s="4">
        <v>6.5</v>
      </c>
      <c r="E22" s="4">
        <v>65</v>
      </c>
      <c r="F22" s="4">
        <v>78.2</v>
      </c>
      <c r="G22" s="4">
        <f t="shared" si="15"/>
        <v>1.0999999999999996</v>
      </c>
      <c r="H22" s="5">
        <f t="shared" si="10"/>
        <v>13.200000000000003</v>
      </c>
      <c r="L22" s="3" t="s">
        <v>44</v>
      </c>
      <c r="M22" s="4">
        <v>7.6</v>
      </c>
      <c r="N22" s="4">
        <v>6.9</v>
      </c>
      <c r="O22" s="4">
        <v>65</v>
      </c>
      <c r="P22" s="4">
        <v>110</v>
      </c>
      <c r="Q22" s="4">
        <f t="shared" si="16"/>
        <v>0.69999999999999929</v>
      </c>
      <c r="R22" s="5">
        <f t="shared" si="11"/>
        <v>45</v>
      </c>
      <c r="V22" s="3" t="s">
        <v>44</v>
      </c>
      <c r="W22" s="4">
        <v>7.6</v>
      </c>
      <c r="X22" s="4">
        <v>7</v>
      </c>
      <c r="Y22" s="4">
        <v>65</v>
      </c>
      <c r="Z22" s="4">
        <v>90.8</v>
      </c>
      <c r="AA22" s="4">
        <f t="shared" si="17"/>
        <v>0.59999999999999964</v>
      </c>
      <c r="AB22" s="5">
        <f t="shared" si="12"/>
        <v>25.799999999999997</v>
      </c>
      <c r="AG22" s="3" t="s">
        <v>44</v>
      </c>
      <c r="AH22" s="4">
        <v>7.6</v>
      </c>
      <c r="AI22" s="4"/>
      <c r="AJ22" s="4">
        <v>65</v>
      </c>
      <c r="AK22" s="4">
        <v>169.3</v>
      </c>
      <c r="AL22" s="4">
        <f t="shared" si="18"/>
        <v>7.6</v>
      </c>
      <c r="AM22" s="5">
        <f t="shared" si="13"/>
        <v>104.30000000000001</v>
      </c>
      <c r="AR22" s="3" t="s">
        <v>44</v>
      </c>
      <c r="AS22" s="4">
        <v>7.6</v>
      </c>
      <c r="AT22" s="4">
        <v>6.4</v>
      </c>
      <c r="AU22" s="4">
        <v>65</v>
      </c>
      <c r="AV22" s="4">
        <v>91.1</v>
      </c>
      <c r="AW22" s="4">
        <f t="shared" si="19"/>
        <v>1.1999999999999993</v>
      </c>
      <c r="AX22" s="5">
        <f t="shared" si="14"/>
        <v>26.099999999999994</v>
      </c>
    </row>
    <row r="23" spans="2:50" x14ac:dyDescent="0.25">
      <c r="B23" s="6"/>
      <c r="C23" s="7">
        <v>10</v>
      </c>
      <c r="D23" s="7">
        <v>10.7</v>
      </c>
      <c r="E23" s="7">
        <v>89</v>
      </c>
      <c r="F23" s="7">
        <v>77.3</v>
      </c>
      <c r="G23" s="7">
        <f t="shared" si="15"/>
        <v>0.69999999999999929</v>
      </c>
      <c r="H23" s="8">
        <f t="shared" si="10"/>
        <v>11.700000000000003</v>
      </c>
      <c r="L23" s="6"/>
      <c r="M23" s="7">
        <v>10</v>
      </c>
      <c r="N23" s="7">
        <v>10</v>
      </c>
      <c r="O23" s="7">
        <v>89</v>
      </c>
      <c r="P23" s="7">
        <v>65.2</v>
      </c>
      <c r="Q23" s="7">
        <f>ABS(M23-N23)</f>
        <v>0</v>
      </c>
      <c r="R23" s="8">
        <f t="shared" si="11"/>
        <v>23.799999999999997</v>
      </c>
      <c r="V23" s="6"/>
      <c r="W23" s="7">
        <v>10</v>
      </c>
      <c r="X23" s="7">
        <v>10.5</v>
      </c>
      <c r="Y23" s="7">
        <v>89</v>
      </c>
      <c r="Z23" s="7">
        <v>88.2</v>
      </c>
      <c r="AA23" s="7">
        <f t="shared" si="17"/>
        <v>0.5</v>
      </c>
      <c r="AB23" s="8">
        <f t="shared" si="12"/>
        <v>0.79999999999999716</v>
      </c>
      <c r="AG23" s="6"/>
      <c r="AH23" s="7">
        <v>10</v>
      </c>
      <c r="AI23" s="7"/>
      <c r="AJ23" s="7">
        <v>89</v>
      </c>
      <c r="AK23" s="7">
        <v>126.5</v>
      </c>
      <c r="AL23" s="7">
        <f t="shared" si="18"/>
        <v>10</v>
      </c>
      <c r="AM23" s="8">
        <f t="shared" si="13"/>
        <v>37.5</v>
      </c>
      <c r="AR23" s="6"/>
      <c r="AS23" s="7">
        <v>10</v>
      </c>
      <c r="AT23" s="7">
        <v>10.8</v>
      </c>
      <c r="AU23" s="7">
        <v>89</v>
      </c>
      <c r="AV23" s="7">
        <v>76.2</v>
      </c>
      <c r="AW23" s="7">
        <f t="shared" si="19"/>
        <v>0.80000000000000071</v>
      </c>
      <c r="AX23" s="8">
        <f t="shared" si="14"/>
        <v>12.799999999999997</v>
      </c>
    </row>
    <row r="24" spans="2:50" x14ac:dyDescent="0.25">
      <c r="B24" s="3" t="s">
        <v>45</v>
      </c>
      <c r="C24" s="4">
        <v>7.6</v>
      </c>
      <c r="D24" s="4">
        <v>7.3</v>
      </c>
      <c r="E24" s="4">
        <v>66</v>
      </c>
      <c r="F24" s="4">
        <v>75</v>
      </c>
      <c r="G24" s="4">
        <f t="shared" si="15"/>
        <v>0.29999999999999982</v>
      </c>
      <c r="H24" s="5">
        <f t="shared" si="10"/>
        <v>9</v>
      </c>
      <c r="L24" s="3" t="s">
        <v>45</v>
      </c>
      <c r="M24" s="4">
        <v>7.6</v>
      </c>
      <c r="N24" s="4">
        <v>9.4</v>
      </c>
      <c r="O24" s="4">
        <v>66</v>
      </c>
      <c r="P24" s="4">
        <v>62</v>
      </c>
      <c r="Q24" s="4">
        <f>ABS(M24-N24)</f>
        <v>1.8000000000000007</v>
      </c>
      <c r="R24" s="5">
        <f t="shared" si="11"/>
        <v>4</v>
      </c>
      <c r="V24" s="3" t="s">
        <v>45</v>
      </c>
      <c r="W24" s="4">
        <v>7.6</v>
      </c>
      <c r="X24" s="4">
        <v>7</v>
      </c>
      <c r="Y24" s="4">
        <v>66</v>
      </c>
      <c r="Z24" s="4">
        <v>83.8</v>
      </c>
      <c r="AA24" s="4">
        <f t="shared" si="17"/>
        <v>0.59999999999999964</v>
      </c>
      <c r="AB24" s="5">
        <f t="shared" si="12"/>
        <v>17.799999999999997</v>
      </c>
      <c r="AG24" s="3" t="s">
        <v>45</v>
      </c>
      <c r="AH24" s="4">
        <v>7.6</v>
      </c>
      <c r="AI24" s="4"/>
      <c r="AJ24" s="4">
        <v>66</v>
      </c>
      <c r="AK24" s="4">
        <v>64</v>
      </c>
      <c r="AL24" s="4">
        <f t="shared" si="18"/>
        <v>7.6</v>
      </c>
      <c r="AM24" s="5">
        <f t="shared" si="13"/>
        <v>2</v>
      </c>
      <c r="AR24" s="3" t="s">
        <v>45</v>
      </c>
      <c r="AS24" s="4">
        <v>7.6</v>
      </c>
      <c r="AT24" s="4">
        <v>7.7</v>
      </c>
      <c r="AU24" s="4">
        <v>66</v>
      </c>
      <c r="AV24" s="4">
        <v>68.7</v>
      </c>
      <c r="AW24" s="4">
        <f t="shared" si="19"/>
        <v>0.10000000000000053</v>
      </c>
      <c r="AX24" s="5">
        <f t="shared" si="14"/>
        <v>2.7000000000000028</v>
      </c>
    </row>
    <row r="25" spans="2:50" x14ac:dyDescent="0.25">
      <c r="B25" s="6"/>
      <c r="C25" s="7">
        <v>11.6</v>
      </c>
      <c r="D25" s="7">
        <v>13.2</v>
      </c>
      <c r="E25" s="7">
        <v>87</v>
      </c>
      <c r="F25" s="7">
        <v>79.2</v>
      </c>
      <c r="G25" s="7">
        <f t="shared" si="15"/>
        <v>1.5999999999999996</v>
      </c>
      <c r="H25" s="8">
        <f t="shared" si="10"/>
        <v>7.7999999999999972</v>
      </c>
      <c r="L25" s="6"/>
      <c r="M25" s="7">
        <v>11.6</v>
      </c>
      <c r="N25" s="7">
        <v>13.6</v>
      </c>
      <c r="O25" s="7">
        <v>87</v>
      </c>
      <c r="P25" s="7">
        <v>84</v>
      </c>
      <c r="Q25" s="7">
        <f t="shared" si="16"/>
        <v>2</v>
      </c>
      <c r="R25" s="8">
        <f t="shared" si="11"/>
        <v>3</v>
      </c>
      <c r="V25" s="6"/>
      <c r="W25" s="7">
        <v>11.6</v>
      </c>
      <c r="X25" s="7">
        <v>14.4</v>
      </c>
      <c r="Y25" s="7">
        <v>87</v>
      </c>
      <c r="Z25" s="7">
        <v>90.8</v>
      </c>
      <c r="AA25" s="7">
        <f t="shared" si="17"/>
        <v>2.8000000000000007</v>
      </c>
      <c r="AB25" s="8">
        <f t="shared" si="12"/>
        <v>3.7999999999999972</v>
      </c>
      <c r="AG25" s="6"/>
      <c r="AH25" s="7">
        <v>11.6</v>
      </c>
      <c r="AI25" s="7"/>
      <c r="AJ25" s="7">
        <v>87</v>
      </c>
      <c r="AK25" s="7">
        <v>133</v>
      </c>
      <c r="AL25" s="7">
        <f t="shared" si="18"/>
        <v>11.6</v>
      </c>
      <c r="AM25" s="8">
        <f t="shared" si="13"/>
        <v>46</v>
      </c>
      <c r="AR25" s="6"/>
      <c r="AS25" s="7">
        <v>11.6</v>
      </c>
      <c r="AT25" s="7">
        <v>14.4</v>
      </c>
      <c r="AU25" s="7">
        <v>87</v>
      </c>
      <c r="AV25" s="7">
        <v>102.9</v>
      </c>
      <c r="AW25" s="7">
        <f t="shared" si="19"/>
        <v>2.8000000000000007</v>
      </c>
      <c r="AX25" s="8">
        <f t="shared" si="14"/>
        <v>15.900000000000006</v>
      </c>
    </row>
    <row r="26" spans="2:50" x14ac:dyDescent="0.25">
      <c r="B26" s="3" t="s">
        <v>26</v>
      </c>
      <c r="C26" s="4">
        <v>16.5</v>
      </c>
      <c r="D26" s="4">
        <v>16.2</v>
      </c>
      <c r="E26" s="4">
        <v>100</v>
      </c>
      <c r="F26" s="4">
        <v>93.8</v>
      </c>
      <c r="G26">
        <f t="shared" ref="G26:G36" si="20">ABS(C26-D26)</f>
        <v>0.30000000000000071</v>
      </c>
      <c r="H26" s="13">
        <f t="shared" ref="H26:H36" si="21">ABS(E26-F26)</f>
        <v>6.2000000000000028</v>
      </c>
      <c r="L26" s="3" t="s">
        <v>26</v>
      </c>
      <c r="M26" s="4">
        <v>16.5</v>
      </c>
      <c r="N26" s="4">
        <v>16.899999999999999</v>
      </c>
      <c r="O26" s="4">
        <v>100</v>
      </c>
      <c r="P26" s="4">
        <v>100</v>
      </c>
      <c r="Q26" s="4">
        <f t="shared" ref="Q26:Q36" si="22">ABS(M26-N26)</f>
        <v>0.39999999999999858</v>
      </c>
      <c r="R26" s="5">
        <f t="shared" ref="R26:R36" si="23">ABS(O26-P26)</f>
        <v>0</v>
      </c>
      <c r="V26" s="3" t="s">
        <v>26</v>
      </c>
      <c r="W26" s="4">
        <v>16.5</v>
      </c>
      <c r="X26" s="4">
        <v>17.600000000000001</v>
      </c>
      <c r="Y26" s="4">
        <v>100</v>
      </c>
      <c r="Z26" s="4">
        <v>100</v>
      </c>
      <c r="AA26" s="4">
        <f t="shared" ref="AA26:AA36" si="24">ABS(W26-X26)</f>
        <v>1.1000000000000014</v>
      </c>
      <c r="AB26" s="5">
        <f t="shared" ref="AB26:AB36" si="25">ABS(Y26-Z26)</f>
        <v>0</v>
      </c>
      <c r="AG26" s="3" t="s">
        <v>26</v>
      </c>
      <c r="AH26" s="4">
        <v>16.5</v>
      </c>
      <c r="AI26" s="4"/>
      <c r="AJ26" s="4">
        <v>100</v>
      </c>
      <c r="AK26" s="4">
        <v>108</v>
      </c>
      <c r="AL26" s="4">
        <f t="shared" ref="AL26:AL36" si="26">ABS(AH26-AI26)</f>
        <v>16.5</v>
      </c>
      <c r="AM26" s="5">
        <f t="shared" ref="AM26:AM36" si="27">ABS(AJ26-AK26)</f>
        <v>8</v>
      </c>
      <c r="AR26" s="3" t="s">
        <v>26</v>
      </c>
      <c r="AS26" s="4">
        <v>16.5</v>
      </c>
      <c r="AT26" s="4">
        <v>17.2</v>
      </c>
      <c r="AU26" s="4">
        <v>100</v>
      </c>
      <c r="AV26" s="4">
        <v>91.3</v>
      </c>
      <c r="AW26" s="4">
        <f t="shared" ref="AW26:AW36" si="28">ABS(AS26-AT26)</f>
        <v>0.69999999999999929</v>
      </c>
      <c r="AX26" s="5">
        <f t="shared" ref="AX26:AX36" si="29">ABS(AU26-AV26)</f>
        <v>8.7000000000000028</v>
      </c>
    </row>
    <row r="27" spans="2:50" x14ac:dyDescent="0.25">
      <c r="B27" s="6"/>
      <c r="C27" s="7">
        <v>12.5</v>
      </c>
      <c r="D27" s="7">
        <v>11</v>
      </c>
      <c r="E27" s="7">
        <v>75</v>
      </c>
      <c r="F27" s="7">
        <v>80</v>
      </c>
      <c r="G27" s="7">
        <f t="shared" si="20"/>
        <v>1.5</v>
      </c>
      <c r="H27" s="8">
        <f t="shared" si="21"/>
        <v>5</v>
      </c>
      <c r="L27" s="6"/>
      <c r="M27" s="7">
        <v>12.5</v>
      </c>
      <c r="N27" s="7">
        <v>11.7</v>
      </c>
      <c r="O27" s="7">
        <v>75</v>
      </c>
      <c r="P27" s="7">
        <v>55.5</v>
      </c>
      <c r="Q27" s="7">
        <f t="shared" si="22"/>
        <v>0.80000000000000071</v>
      </c>
      <c r="R27" s="8">
        <f t="shared" si="23"/>
        <v>19.5</v>
      </c>
      <c r="V27" s="6"/>
      <c r="W27" s="7">
        <v>12.5</v>
      </c>
      <c r="X27" s="7">
        <v>11</v>
      </c>
      <c r="Y27" s="7">
        <v>75</v>
      </c>
      <c r="Z27" s="7">
        <v>105.5</v>
      </c>
      <c r="AA27" s="7">
        <f t="shared" si="24"/>
        <v>1.5</v>
      </c>
      <c r="AB27" s="8">
        <f t="shared" si="25"/>
        <v>30.5</v>
      </c>
      <c r="AG27" s="6"/>
      <c r="AH27" s="7">
        <v>12.5</v>
      </c>
      <c r="AI27" s="7"/>
      <c r="AJ27" s="7">
        <v>75</v>
      </c>
      <c r="AK27" s="7">
        <v>62</v>
      </c>
      <c r="AL27" s="7">
        <f t="shared" si="26"/>
        <v>12.5</v>
      </c>
      <c r="AM27" s="8">
        <f t="shared" si="27"/>
        <v>13</v>
      </c>
      <c r="AR27" s="6"/>
      <c r="AS27" s="7">
        <v>12.5</v>
      </c>
      <c r="AT27" s="7">
        <v>11</v>
      </c>
      <c r="AU27" s="7">
        <v>75</v>
      </c>
      <c r="AV27" s="7">
        <v>81</v>
      </c>
      <c r="AW27" s="7">
        <f t="shared" si="28"/>
        <v>1.5</v>
      </c>
      <c r="AX27" s="8">
        <f t="shared" si="29"/>
        <v>6</v>
      </c>
    </row>
    <row r="28" spans="2:50" x14ac:dyDescent="0.25">
      <c r="B28" s="3" t="s">
        <v>27</v>
      </c>
      <c r="C28" s="4">
        <v>10</v>
      </c>
      <c r="D28" s="4">
        <v>10</v>
      </c>
      <c r="E28" s="4">
        <v>72</v>
      </c>
      <c r="F28" s="4">
        <v>78.8</v>
      </c>
      <c r="G28" s="4">
        <f t="shared" si="20"/>
        <v>0</v>
      </c>
      <c r="H28" s="5">
        <f t="shared" si="21"/>
        <v>6.7999999999999972</v>
      </c>
      <c r="L28" s="3" t="s">
        <v>27</v>
      </c>
      <c r="M28" s="4">
        <v>10</v>
      </c>
      <c r="N28" s="4">
        <v>8.3000000000000007</v>
      </c>
      <c r="O28" s="4">
        <v>72</v>
      </c>
      <c r="P28" s="4">
        <v>49.5</v>
      </c>
      <c r="Q28" s="4">
        <f t="shared" si="22"/>
        <v>1.6999999999999993</v>
      </c>
      <c r="R28" s="5">
        <f t="shared" si="23"/>
        <v>22.5</v>
      </c>
      <c r="V28" s="3" t="s">
        <v>27</v>
      </c>
      <c r="W28" s="4">
        <v>10</v>
      </c>
      <c r="X28" s="4">
        <v>10.3</v>
      </c>
      <c r="Y28" s="4">
        <v>72</v>
      </c>
      <c r="Z28" s="4">
        <v>101.8</v>
      </c>
      <c r="AA28" s="4">
        <f t="shared" si="24"/>
        <v>0.30000000000000071</v>
      </c>
      <c r="AB28" s="5">
        <f t="shared" si="25"/>
        <v>29.799999999999997</v>
      </c>
      <c r="AG28" s="3" t="s">
        <v>27</v>
      </c>
      <c r="AH28" s="4">
        <v>10</v>
      </c>
      <c r="AI28" s="4"/>
      <c r="AJ28" s="4">
        <v>72</v>
      </c>
      <c r="AK28" s="4">
        <v>157</v>
      </c>
      <c r="AL28" s="4">
        <f t="shared" si="26"/>
        <v>10</v>
      </c>
      <c r="AM28" s="5">
        <f t="shared" si="27"/>
        <v>85</v>
      </c>
      <c r="AR28" s="3" t="s">
        <v>27</v>
      </c>
      <c r="AS28" s="4">
        <v>10</v>
      </c>
      <c r="AT28" s="4">
        <v>9.8000000000000007</v>
      </c>
      <c r="AU28" s="4">
        <v>72</v>
      </c>
      <c r="AV28" s="4">
        <v>71</v>
      </c>
      <c r="AW28" s="4">
        <f t="shared" si="28"/>
        <v>0.19999999999999929</v>
      </c>
      <c r="AX28" s="5">
        <f t="shared" si="29"/>
        <v>1</v>
      </c>
    </row>
    <row r="29" spans="2:50" x14ac:dyDescent="0.25">
      <c r="B29" s="6"/>
      <c r="C29" s="7">
        <v>17.5</v>
      </c>
      <c r="D29" s="7">
        <v>17</v>
      </c>
      <c r="E29" s="7">
        <v>111</v>
      </c>
      <c r="F29" s="7">
        <v>74.3</v>
      </c>
      <c r="G29" s="7">
        <f t="shared" si="20"/>
        <v>0.5</v>
      </c>
      <c r="H29" s="8">
        <f t="shared" si="21"/>
        <v>36.700000000000003</v>
      </c>
      <c r="L29" s="6"/>
      <c r="M29" s="7">
        <v>17.5</v>
      </c>
      <c r="N29" s="7">
        <v>17.2</v>
      </c>
      <c r="O29" s="7">
        <v>111</v>
      </c>
      <c r="P29" s="7">
        <v>63.5</v>
      </c>
      <c r="Q29" s="7">
        <f t="shared" si="22"/>
        <v>0.30000000000000071</v>
      </c>
      <c r="R29" s="8">
        <f t="shared" si="23"/>
        <v>47.5</v>
      </c>
      <c r="V29" s="6"/>
      <c r="W29" s="7">
        <v>17.5</v>
      </c>
      <c r="X29" s="7">
        <v>16.899999999999999</v>
      </c>
      <c r="Y29" s="7">
        <v>111</v>
      </c>
      <c r="Z29" s="7">
        <v>102.2</v>
      </c>
      <c r="AA29" s="7">
        <f t="shared" si="24"/>
        <v>0.60000000000000142</v>
      </c>
      <c r="AB29" s="8">
        <f t="shared" si="25"/>
        <v>8.7999999999999972</v>
      </c>
      <c r="AG29" s="6"/>
      <c r="AH29" s="7">
        <v>17.5</v>
      </c>
      <c r="AI29" s="7"/>
      <c r="AJ29" s="7">
        <v>111</v>
      </c>
      <c r="AK29" s="7">
        <v>75.3</v>
      </c>
      <c r="AL29" s="7">
        <f t="shared" si="26"/>
        <v>17.5</v>
      </c>
      <c r="AM29" s="8">
        <f t="shared" si="27"/>
        <v>35.700000000000003</v>
      </c>
      <c r="AR29" s="6"/>
      <c r="AS29" s="7">
        <v>17.5</v>
      </c>
      <c r="AT29" s="7">
        <v>16.5</v>
      </c>
      <c r="AU29" s="7">
        <v>111</v>
      </c>
      <c r="AV29" s="7">
        <v>81.599999999999994</v>
      </c>
      <c r="AW29" s="7">
        <f t="shared" si="28"/>
        <v>1</v>
      </c>
      <c r="AX29" s="8">
        <f t="shared" si="29"/>
        <v>29.400000000000006</v>
      </c>
    </row>
    <row r="30" spans="2:50" x14ac:dyDescent="0.25">
      <c r="B30" s="3" t="s">
        <v>28</v>
      </c>
      <c r="C30" s="4">
        <v>15.5</v>
      </c>
      <c r="D30" s="4">
        <v>14.6</v>
      </c>
      <c r="E30" s="4">
        <v>94</v>
      </c>
      <c r="F30" s="4">
        <v>85.5</v>
      </c>
      <c r="G30" s="4">
        <f t="shared" si="20"/>
        <v>0.90000000000000036</v>
      </c>
      <c r="H30" s="5">
        <f t="shared" si="21"/>
        <v>8.5</v>
      </c>
      <c r="L30" s="3" t="s">
        <v>28</v>
      </c>
      <c r="M30" s="4">
        <v>15.5</v>
      </c>
      <c r="N30" s="4">
        <v>14.6</v>
      </c>
      <c r="O30" s="4">
        <v>94</v>
      </c>
      <c r="P30" s="4">
        <v>72</v>
      </c>
      <c r="Q30" s="4">
        <f t="shared" si="22"/>
        <v>0.90000000000000036</v>
      </c>
      <c r="R30" s="5">
        <f t="shared" si="23"/>
        <v>22</v>
      </c>
      <c r="V30" s="3" t="s">
        <v>28</v>
      </c>
      <c r="W30" s="4">
        <v>15.5</v>
      </c>
      <c r="X30" s="4">
        <v>13.9</v>
      </c>
      <c r="Y30" s="4">
        <v>94</v>
      </c>
      <c r="Z30" s="4">
        <v>108.4</v>
      </c>
      <c r="AA30" s="4">
        <f t="shared" si="24"/>
        <v>1.5999999999999996</v>
      </c>
      <c r="AB30" s="5">
        <f t="shared" si="25"/>
        <v>14.400000000000006</v>
      </c>
      <c r="AG30" s="3" t="s">
        <v>28</v>
      </c>
      <c r="AH30" s="4">
        <v>15.5</v>
      </c>
      <c r="AI30" s="4"/>
      <c r="AJ30" s="4">
        <v>94</v>
      </c>
      <c r="AK30" s="4">
        <v>75</v>
      </c>
      <c r="AL30" s="4">
        <f t="shared" si="26"/>
        <v>15.5</v>
      </c>
      <c r="AM30" s="5">
        <f t="shared" si="27"/>
        <v>19</v>
      </c>
      <c r="AR30" s="3" t="s">
        <v>28</v>
      </c>
      <c r="AS30" s="4">
        <v>15.5</v>
      </c>
      <c r="AT30" s="4">
        <v>15.5</v>
      </c>
      <c r="AU30" s="4">
        <v>94</v>
      </c>
      <c r="AV30" s="4">
        <v>72.5</v>
      </c>
      <c r="AW30" s="4">
        <f t="shared" si="28"/>
        <v>0</v>
      </c>
      <c r="AX30" s="5">
        <f t="shared" si="29"/>
        <v>21.5</v>
      </c>
    </row>
    <row r="31" spans="2:50" x14ac:dyDescent="0.25">
      <c r="B31" s="6"/>
      <c r="C31" s="7">
        <v>13</v>
      </c>
      <c r="D31" s="7">
        <v>12.2</v>
      </c>
      <c r="E31" s="7">
        <v>94</v>
      </c>
      <c r="F31" s="7">
        <v>76</v>
      </c>
      <c r="G31" s="7">
        <f t="shared" si="20"/>
        <v>0.80000000000000071</v>
      </c>
      <c r="H31" s="8">
        <f t="shared" si="21"/>
        <v>18</v>
      </c>
      <c r="L31" s="6"/>
      <c r="M31" s="7">
        <v>13</v>
      </c>
      <c r="N31" s="7">
        <v>12.2</v>
      </c>
      <c r="O31" s="7">
        <v>94</v>
      </c>
      <c r="P31" s="7">
        <v>63.5</v>
      </c>
      <c r="Q31" s="7">
        <f t="shared" si="22"/>
        <v>0.80000000000000071</v>
      </c>
      <c r="R31" s="8">
        <f t="shared" si="23"/>
        <v>30.5</v>
      </c>
      <c r="V31" s="6"/>
      <c r="W31" s="7">
        <v>13</v>
      </c>
      <c r="X31" s="7">
        <v>11.7</v>
      </c>
      <c r="Y31" s="7">
        <v>94</v>
      </c>
      <c r="Z31" s="7">
        <v>104.4</v>
      </c>
      <c r="AA31" s="7">
        <f t="shared" si="24"/>
        <v>1.3000000000000007</v>
      </c>
      <c r="AB31" s="8">
        <f t="shared" si="25"/>
        <v>10.400000000000006</v>
      </c>
      <c r="AG31" s="6"/>
      <c r="AH31" s="7">
        <v>13</v>
      </c>
      <c r="AI31" s="7"/>
      <c r="AJ31" s="7">
        <v>94</v>
      </c>
      <c r="AK31" s="7">
        <v>115.5</v>
      </c>
      <c r="AL31" s="7">
        <f t="shared" si="26"/>
        <v>13</v>
      </c>
      <c r="AM31" s="8">
        <f t="shared" si="27"/>
        <v>21.5</v>
      </c>
      <c r="AR31" s="6"/>
      <c r="AS31" s="7">
        <v>13</v>
      </c>
      <c r="AT31" s="7">
        <v>11.3</v>
      </c>
      <c r="AU31" s="7">
        <v>94</v>
      </c>
      <c r="AV31" s="7">
        <v>106</v>
      </c>
      <c r="AW31" s="7">
        <f t="shared" si="28"/>
        <v>1.6999999999999993</v>
      </c>
      <c r="AX31" s="8">
        <f t="shared" si="29"/>
        <v>12</v>
      </c>
    </row>
    <row r="32" spans="2:50" x14ac:dyDescent="0.25">
      <c r="B32" s="3" t="s">
        <v>29</v>
      </c>
      <c r="C32" s="4">
        <v>14.5</v>
      </c>
      <c r="D32" s="4">
        <v>13.9</v>
      </c>
      <c r="E32" s="4">
        <v>104</v>
      </c>
      <c r="F32" s="4">
        <v>98.2</v>
      </c>
      <c r="G32" s="4">
        <f t="shared" si="20"/>
        <v>0.59999999999999964</v>
      </c>
      <c r="H32" s="5">
        <f t="shared" si="21"/>
        <v>5.7999999999999972</v>
      </c>
      <c r="L32" s="3" t="s">
        <v>29</v>
      </c>
      <c r="M32" s="4">
        <v>14.5</v>
      </c>
      <c r="N32" s="4">
        <v>13.6</v>
      </c>
      <c r="O32" s="4">
        <v>104</v>
      </c>
      <c r="P32" s="4">
        <v>105</v>
      </c>
      <c r="Q32" s="4">
        <f t="shared" si="22"/>
        <v>0.90000000000000036</v>
      </c>
      <c r="R32" s="5">
        <f t="shared" si="23"/>
        <v>1</v>
      </c>
      <c r="V32" s="3" t="s">
        <v>29</v>
      </c>
      <c r="W32" s="4">
        <v>14.5</v>
      </c>
      <c r="X32" s="4">
        <v>13.9</v>
      </c>
      <c r="Y32" s="4">
        <v>104</v>
      </c>
      <c r="Z32" s="4">
        <v>105.8</v>
      </c>
      <c r="AA32" s="4">
        <f t="shared" si="24"/>
        <v>0.59999999999999964</v>
      </c>
      <c r="AB32" s="5">
        <f t="shared" si="25"/>
        <v>1.7999999999999972</v>
      </c>
      <c r="AG32" s="3" t="s">
        <v>29</v>
      </c>
      <c r="AH32" s="4">
        <v>14.5</v>
      </c>
      <c r="AI32" s="4"/>
      <c r="AJ32" s="4">
        <v>104</v>
      </c>
      <c r="AK32" s="4">
        <v>120</v>
      </c>
      <c r="AL32" s="4">
        <f t="shared" si="26"/>
        <v>14.5</v>
      </c>
      <c r="AM32" s="5">
        <f t="shared" si="27"/>
        <v>16</v>
      </c>
      <c r="AR32" s="3" t="s">
        <v>29</v>
      </c>
      <c r="AS32" s="4">
        <v>14.5</v>
      </c>
      <c r="AT32" s="4">
        <v>14</v>
      </c>
      <c r="AU32" s="4">
        <v>104</v>
      </c>
      <c r="AV32" s="4">
        <v>99.5</v>
      </c>
      <c r="AW32" s="4">
        <f t="shared" si="28"/>
        <v>0.5</v>
      </c>
      <c r="AX32" s="5">
        <f t="shared" si="29"/>
        <v>4.5</v>
      </c>
    </row>
    <row r="33" spans="2:50" x14ac:dyDescent="0.25">
      <c r="B33" s="6"/>
      <c r="C33" s="7">
        <v>11</v>
      </c>
      <c r="D33" s="7">
        <v>10.5</v>
      </c>
      <c r="E33" s="7">
        <v>98</v>
      </c>
      <c r="F33" s="7">
        <v>76.3</v>
      </c>
      <c r="G33" s="7">
        <f t="shared" si="20"/>
        <v>0.5</v>
      </c>
      <c r="H33" s="8">
        <f t="shared" si="21"/>
        <v>21.700000000000003</v>
      </c>
      <c r="L33" s="6"/>
      <c r="M33" s="7">
        <v>11</v>
      </c>
      <c r="N33" s="7">
        <v>11.9</v>
      </c>
      <c r="O33" s="7">
        <v>98</v>
      </c>
      <c r="P33" s="7">
        <v>61.5</v>
      </c>
      <c r="Q33" s="7">
        <f t="shared" si="22"/>
        <v>0.90000000000000036</v>
      </c>
      <c r="R33" s="8">
        <f t="shared" si="23"/>
        <v>36.5</v>
      </c>
      <c r="V33" s="6"/>
      <c r="W33" s="7">
        <v>11</v>
      </c>
      <c r="X33" s="7">
        <v>10.3</v>
      </c>
      <c r="Y33" s="7">
        <v>98</v>
      </c>
      <c r="Z33" s="7">
        <v>107.7</v>
      </c>
      <c r="AA33" s="7">
        <f t="shared" si="24"/>
        <v>0.69999999999999929</v>
      </c>
      <c r="AB33" s="8">
        <f t="shared" si="25"/>
        <v>9.7000000000000028</v>
      </c>
      <c r="AG33" s="6"/>
      <c r="AH33" s="7">
        <v>11</v>
      </c>
      <c r="AI33" s="7"/>
      <c r="AJ33" s="7">
        <v>98</v>
      </c>
      <c r="AK33" s="7">
        <v>219</v>
      </c>
      <c r="AL33" s="7">
        <f t="shared" si="26"/>
        <v>11</v>
      </c>
      <c r="AM33" s="8">
        <f t="shared" si="27"/>
        <v>121</v>
      </c>
      <c r="AR33" s="6"/>
      <c r="AS33" s="7">
        <v>11</v>
      </c>
      <c r="AT33" s="7">
        <v>10</v>
      </c>
      <c r="AU33" s="7">
        <v>98</v>
      </c>
      <c r="AV33" s="7">
        <v>86.5</v>
      </c>
      <c r="AW33" s="7">
        <f t="shared" si="28"/>
        <v>1</v>
      </c>
      <c r="AX33" s="8">
        <f t="shared" si="29"/>
        <v>11.5</v>
      </c>
    </row>
    <row r="34" spans="2:50" x14ac:dyDescent="0.25">
      <c r="B34" s="3" t="s">
        <v>40</v>
      </c>
      <c r="C34" s="4">
        <v>18</v>
      </c>
      <c r="D34" s="4">
        <v>18.3</v>
      </c>
      <c r="E34" s="4">
        <v>87</v>
      </c>
      <c r="F34" s="4">
        <v>44.5</v>
      </c>
      <c r="G34" s="4">
        <f t="shared" si="20"/>
        <v>0.30000000000000071</v>
      </c>
      <c r="H34" s="5">
        <f t="shared" si="21"/>
        <v>42.5</v>
      </c>
      <c r="L34" s="3" t="s">
        <v>40</v>
      </c>
      <c r="M34" s="4">
        <v>18</v>
      </c>
      <c r="N34" s="4">
        <v>17.899999999999999</v>
      </c>
      <c r="O34" s="4">
        <v>87</v>
      </c>
      <c r="P34" s="4">
        <v>71.599999999999994</v>
      </c>
      <c r="Q34" s="4">
        <f t="shared" si="22"/>
        <v>0.10000000000000142</v>
      </c>
      <c r="R34" s="5">
        <f t="shared" si="23"/>
        <v>15.400000000000006</v>
      </c>
      <c r="V34" s="3" t="s">
        <v>40</v>
      </c>
      <c r="W34" s="4">
        <v>18</v>
      </c>
      <c r="X34" s="4">
        <v>17.600000000000001</v>
      </c>
      <c r="Y34" s="4">
        <v>87</v>
      </c>
      <c r="Z34" s="4">
        <v>79.099999999999994</v>
      </c>
      <c r="AA34" s="4">
        <f t="shared" si="24"/>
        <v>0.39999999999999858</v>
      </c>
      <c r="AB34" s="5">
        <f t="shared" si="25"/>
        <v>7.9000000000000057</v>
      </c>
      <c r="AG34" s="3" t="s">
        <v>40</v>
      </c>
      <c r="AH34" s="4">
        <v>18</v>
      </c>
      <c r="AI34" s="4"/>
      <c r="AJ34" s="4">
        <v>87</v>
      </c>
      <c r="AK34" s="4">
        <v>66.5</v>
      </c>
      <c r="AL34" s="4">
        <f t="shared" si="26"/>
        <v>18</v>
      </c>
      <c r="AM34" s="5">
        <f t="shared" si="27"/>
        <v>20.5</v>
      </c>
      <c r="AR34" s="3" t="s">
        <v>40</v>
      </c>
      <c r="AS34" s="4">
        <v>18</v>
      </c>
      <c r="AT34" s="4">
        <v>17.61</v>
      </c>
      <c r="AU34" s="4">
        <v>87</v>
      </c>
      <c r="AV34" s="4">
        <v>40</v>
      </c>
      <c r="AW34" s="4">
        <f t="shared" si="28"/>
        <v>0.39000000000000057</v>
      </c>
      <c r="AX34" s="5">
        <f t="shared" si="29"/>
        <v>47</v>
      </c>
    </row>
    <row r="35" spans="2:50" x14ac:dyDescent="0.25">
      <c r="B35" s="12"/>
      <c r="C35">
        <v>8.8000000000000007</v>
      </c>
      <c r="D35">
        <v>8.3000000000000007</v>
      </c>
      <c r="E35">
        <v>74</v>
      </c>
      <c r="F35">
        <v>72.400000000000006</v>
      </c>
      <c r="G35">
        <f t="shared" si="20"/>
        <v>0.5</v>
      </c>
      <c r="H35" s="13">
        <f t="shared" si="21"/>
        <v>1.5999999999999943</v>
      </c>
      <c r="L35" s="12"/>
      <c r="M35">
        <v>8.8000000000000007</v>
      </c>
      <c r="N35">
        <v>9.3000000000000007</v>
      </c>
      <c r="O35">
        <v>74</v>
      </c>
      <c r="P35">
        <v>59.2</v>
      </c>
      <c r="Q35">
        <f t="shared" si="22"/>
        <v>0.5</v>
      </c>
      <c r="R35" s="13">
        <f t="shared" si="23"/>
        <v>14.799999999999997</v>
      </c>
      <c r="V35" s="12"/>
      <c r="W35">
        <v>8.8000000000000007</v>
      </c>
      <c r="X35">
        <v>8.1999999999999993</v>
      </c>
      <c r="Y35">
        <v>74</v>
      </c>
      <c r="Z35">
        <v>92</v>
      </c>
      <c r="AA35">
        <f t="shared" si="24"/>
        <v>0.60000000000000142</v>
      </c>
      <c r="AB35" s="13">
        <f t="shared" si="25"/>
        <v>18</v>
      </c>
      <c r="AG35" s="12"/>
      <c r="AH35">
        <v>8.8000000000000007</v>
      </c>
      <c r="AJ35">
        <v>74</v>
      </c>
      <c r="AK35">
        <v>192.5</v>
      </c>
      <c r="AL35">
        <f t="shared" si="26"/>
        <v>8.8000000000000007</v>
      </c>
      <c r="AM35" s="13">
        <f t="shared" si="27"/>
        <v>118.5</v>
      </c>
      <c r="AR35" s="12"/>
      <c r="AS35">
        <v>8.8000000000000007</v>
      </c>
      <c r="AT35">
        <v>8.6</v>
      </c>
      <c r="AU35">
        <v>74</v>
      </c>
      <c r="AV35">
        <v>60.6</v>
      </c>
      <c r="AW35">
        <f t="shared" si="28"/>
        <v>0.20000000000000107</v>
      </c>
      <c r="AX35" s="13">
        <f t="shared" si="29"/>
        <v>13.399999999999999</v>
      </c>
    </row>
    <row r="36" spans="2:50" x14ac:dyDescent="0.25">
      <c r="B36" s="6"/>
      <c r="C36" s="7">
        <v>8.8000000000000007</v>
      </c>
      <c r="D36" s="7">
        <v>9</v>
      </c>
      <c r="E36" s="7">
        <v>91</v>
      </c>
      <c r="F36" s="7">
        <v>81</v>
      </c>
      <c r="G36" s="7">
        <f t="shared" si="20"/>
        <v>0.19999999999999929</v>
      </c>
      <c r="H36" s="8">
        <f t="shared" si="21"/>
        <v>10</v>
      </c>
      <c r="L36" s="6"/>
      <c r="M36" s="7">
        <v>8.8000000000000007</v>
      </c>
      <c r="N36" s="7">
        <v>8.6</v>
      </c>
      <c r="O36" s="7">
        <v>91</v>
      </c>
      <c r="P36" s="7">
        <v>64.8</v>
      </c>
      <c r="Q36" s="7">
        <f t="shared" si="22"/>
        <v>0.20000000000000107</v>
      </c>
      <c r="R36" s="8">
        <f t="shared" si="23"/>
        <v>26.200000000000003</v>
      </c>
      <c r="V36" s="6"/>
      <c r="W36" s="7">
        <v>8.8000000000000007</v>
      </c>
      <c r="X36" s="7">
        <v>7</v>
      </c>
      <c r="Y36" s="7">
        <v>91</v>
      </c>
      <c r="Z36" s="7">
        <v>93.2</v>
      </c>
      <c r="AA36" s="7">
        <f t="shared" si="24"/>
        <v>1.8000000000000007</v>
      </c>
      <c r="AB36" s="8">
        <f t="shared" si="25"/>
        <v>2.2000000000000028</v>
      </c>
      <c r="AG36" s="6"/>
      <c r="AH36" s="7">
        <v>8.8000000000000007</v>
      </c>
      <c r="AI36" s="7"/>
      <c r="AJ36" s="7">
        <v>91</v>
      </c>
      <c r="AK36" s="7">
        <v>116.6</v>
      </c>
      <c r="AL36" s="7">
        <f t="shared" si="26"/>
        <v>8.8000000000000007</v>
      </c>
      <c r="AM36" s="8">
        <f t="shared" si="27"/>
        <v>25.599999999999994</v>
      </c>
      <c r="AR36" s="6"/>
      <c r="AS36" s="7">
        <v>8.8000000000000007</v>
      </c>
      <c r="AT36" s="7">
        <v>7.1</v>
      </c>
      <c r="AU36" s="7">
        <v>91</v>
      </c>
      <c r="AV36" s="7">
        <v>88.8</v>
      </c>
      <c r="AW36" s="7">
        <f t="shared" si="28"/>
        <v>1.7000000000000011</v>
      </c>
      <c r="AX36" s="8">
        <f t="shared" si="29"/>
        <v>2.2000000000000028</v>
      </c>
    </row>
    <row r="37" spans="2:50" x14ac:dyDescent="0.25">
      <c r="B37" s="3" t="s">
        <v>32</v>
      </c>
      <c r="C37" s="4">
        <v>16</v>
      </c>
      <c r="D37" s="4">
        <v>15.6</v>
      </c>
      <c r="E37" s="4">
        <v>93</v>
      </c>
      <c r="F37" s="4">
        <v>95.7</v>
      </c>
      <c r="G37" s="4">
        <f t="shared" ref="G37:G64" si="30">ABS(C37-D37)</f>
        <v>0.40000000000000036</v>
      </c>
      <c r="H37" s="5">
        <f t="shared" ref="H37:H56" si="31">ABS(E37-F37)</f>
        <v>2.7000000000000028</v>
      </c>
      <c r="L37" s="3" t="s">
        <v>32</v>
      </c>
      <c r="M37" s="4">
        <v>16</v>
      </c>
      <c r="N37" s="4">
        <v>15.2</v>
      </c>
      <c r="O37" s="4">
        <v>93</v>
      </c>
      <c r="P37" s="4">
        <v>106</v>
      </c>
      <c r="Q37" s="4">
        <f t="shared" ref="Q37:Q64" si="32">ABS(M37-N37)</f>
        <v>0.80000000000000071</v>
      </c>
      <c r="R37" s="5">
        <f t="shared" ref="R37:R56" si="33">ABS(O37-P37)</f>
        <v>13</v>
      </c>
      <c r="V37" s="3" t="s">
        <v>32</v>
      </c>
      <c r="W37" s="4">
        <v>16</v>
      </c>
      <c r="X37" s="4">
        <v>15.2</v>
      </c>
      <c r="Y37" s="4">
        <v>93</v>
      </c>
      <c r="Z37" s="4">
        <v>106.6</v>
      </c>
      <c r="AA37" s="4">
        <f t="shared" ref="AA37:AA64" si="34">ABS(W37-X37)</f>
        <v>0.80000000000000071</v>
      </c>
      <c r="AB37" s="5">
        <f t="shared" ref="AB37:AB56" si="35">ABS(Y37-Z37)</f>
        <v>13.599999999999994</v>
      </c>
      <c r="AG37" s="3" t="s">
        <v>32</v>
      </c>
      <c r="AH37" s="4">
        <v>16</v>
      </c>
      <c r="AI37" s="4"/>
      <c r="AJ37" s="4">
        <v>93</v>
      </c>
      <c r="AK37" s="4">
        <v>133</v>
      </c>
      <c r="AL37" s="4">
        <f t="shared" ref="AL37:AL64" si="36">ABS(AH37-AI37)</f>
        <v>16</v>
      </c>
      <c r="AM37" s="5">
        <f t="shared" ref="AM37:AM56" si="37">ABS(AJ37-AK37)</f>
        <v>40</v>
      </c>
      <c r="AR37" s="3" t="s">
        <v>32</v>
      </c>
      <c r="AS37" s="4">
        <v>16</v>
      </c>
      <c r="AT37" s="4">
        <v>15.2</v>
      </c>
      <c r="AU37" s="4">
        <v>93</v>
      </c>
      <c r="AV37" s="4">
        <v>107.3</v>
      </c>
      <c r="AW37" s="4">
        <f t="shared" ref="AW37:AW64" si="38">ABS(AS37-AT37)</f>
        <v>0.80000000000000071</v>
      </c>
      <c r="AX37" s="5">
        <f t="shared" ref="AX37:AX56" si="39">ABS(AU37-AV37)</f>
        <v>14.299999999999997</v>
      </c>
    </row>
    <row r="38" spans="2:50" x14ac:dyDescent="0.25">
      <c r="B38" s="12"/>
      <c r="C38">
        <v>11.6</v>
      </c>
      <c r="D38">
        <v>10.8</v>
      </c>
      <c r="E38">
        <v>69</v>
      </c>
      <c r="F38">
        <v>64</v>
      </c>
      <c r="G38">
        <f t="shared" si="30"/>
        <v>0.79999999999999893</v>
      </c>
      <c r="H38" s="13">
        <f t="shared" si="31"/>
        <v>5</v>
      </c>
      <c r="L38" s="12"/>
      <c r="M38">
        <v>11.6</v>
      </c>
      <c r="N38">
        <v>10.5</v>
      </c>
      <c r="O38">
        <v>69</v>
      </c>
      <c r="P38">
        <v>80</v>
      </c>
      <c r="Q38">
        <f t="shared" si="32"/>
        <v>1.0999999999999996</v>
      </c>
      <c r="R38" s="13">
        <f t="shared" si="33"/>
        <v>11</v>
      </c>
      <c r="V38" s="12"/>
      <c r="W38">
        <v>11.6</v>
      </c>
      <c r="X38">
        <v>10.5</v>
      </c>
      <c r="Y38">
        <v>69</v>
      </c>
      <c r="Z38">
        <v>83.2</v>
      </c>
      <c r="AA38">
        <f t="shared" si="34"/>
        <v>1.0999999999999996</v>
      </c>
      <c r="AB38" s="13">
        <f t="shared" si="35"/>
        <v>14.200000000000003</v>
      </c>
      <c r="AG38" s="12"/>
      <c r="AH38">
        <v>11.6</v>
      </c>
      <c r="AJ38">
        <v>69</v>
      </c>
      <c r="AK38">
        <v>74.5</v>
      </c>
      <c r="AL38">
        <f t="shared" si="36"/>
        <v>11.6</v>
      </c>
      <c r="AM38" s="13">
        <f t="shared" si="37"/>
        <v>5.5</v>
      </c>
      <c r="AR38" s="12"/>
      <c r="AS38">
        <v>11.6</v>
      </c>
      <c r="AT38">
        <v>11</v>
      </c>
      <c r="AU38">
        <v>69</v>
      </c>
      <c r="AV38">
        <v>55.8</v>
      </c>
      <c r="AW38">
        <f t="shared" si="38"/>
        <v>0.59999999999999964</v>
      </c>
      <c r="AX38" s="13">
        <f t="shared" si="39"/>
        <v>13.200000000000003</v>
      </c>
    </row>
    <row r="39" spans="2:50" x14ac:dyDescent="0.25">
      <c r="B39" s="6"/>
      <c r="C39" s="7">
        <v>12.4</v>
      </c>
      <c r="D39" s="7">
        <v>12.2</v>
      </c>
      <c r="E39" s="7">
        <v>77</v>
      </c>
      <c r="F39" s="7">
        <v>65.8</v>
      </c>
      <c r="G39" s="7">
        <f t="shared" si="30"/>
        <v>0.20000000000000107</v>
      </c>
      <c r="H39" s="8">
        <f t="shared" si="31"/>
        <v>11.200000000000003</v>
      </c>
      <c r="L39" s="6"/>
      <c r="M39" s="7">
        <v>12.4</v>
      </c>
      <c r="N39" s="7">
        <v>12.9</v>
      </c>
      <c r="O39" s="7">
        <v>77</v>
      </c>
      <c r="P39" s="7">
        <v>72</v>
      </c>
      <c r="Q39" s="7">
        <f t="shared" si="32"/>
        <v>0.5</v>
      </c>
      <c r="R39" s="8">
        <f t="shared" si="33"/>
        <v>5</v>
      </c>
      <c r="V39" s="6"/>
      <c r="W39" s="7">
        <v>12.4</v>
      </c>
      <c r="X39" s="7">
        <v>12.8</v>
      </c>
      <c r="Y39" s="7">
        <v>77</v>
      </c>
      <c r="Z39" s="7">
        <v>92</v>
      </c>
      <c r="AA39" s="7">
        <f t="shared" si="34"/>
        <v>0.40000000000000036</v>
      </c>
      <c r="AB39" s="8">
        <f t="shared" si="35"/>
        <v>15</v>
      </c>
      <c r="AG39" s="6"/>
      <c r="AH39" s="7">
        <v>12.4</v>
      </c>
      <c r="AI39" s="7"/>
      <c r="AJ39" s="7">
        <v>77</v>
      </c>
      <c r="AK39" s="7">
        <v>67.5</v>
      </c>
      <c r="AL39" s="7">
        <f t="shared" si="36"/>
        <v>12.4</v>
      </c>
      <c r="AM39" s="8">
        <f t="shared" si="37"/>
        <v>9.5</v>
      </c>
      <c r="AR39" s="6"/>
      <c r="AS39" s="7">
        <v>12.4</v>
      </c>
      <c r="AT39" s="7">
        <v>12.2</v>
      </c>
      <c r="AU39" s="7">
        <v>77</v>
      </c>
      <c r="AV39" s="7">
        <v>66.2</v>
      </c>
      <c r="AW39" s="7">
        <f t="shared" si="38"/>
        <v>0.20000000000000107</v>
      </c>
      <c r="AX39" s="8">
        <f t="shared" si="39"/>
        <v>10.799999999999997</v>
      </c>
    </row>
    <row r="40" spans="2:50" x14ac:dyDescent="0.25">
      <c r="B40" s="3" t="s">
        <v>33</v>
      </c>
      <c r="C40" s="4">
        <v>10.4</v>
      </c>
      <c r="D40" s="4">
        <v>10.1</v>
      </c>
      <c r="E40" s="4">
        <v>75</v>
      </c>
      <c r="F40" s="4">
        <v>67.2</v>
      </c>
      <c r="G40" s="4">
        <f t="shared" si="30"/>
        <v>0.30000000000000071</v>
      </c>
      <c r="H40" s="5">
        <f t="shared" si="31"/>
        <v>7.7999999999999972</v>
      </c>
      <c r="L40" s="3" t="s">
        <v>33</v>
      </c>
      <c r="M40" s="4">
        <v>10.4</v>
      </c>
      <c r="N40" s="4">
        <v>10</v>
      </c>
      <c r="O40" s="4">
        <v>75</v>
      </c>
      <c r="P40" s="4">
        <v>67.599999999999994</v>
      </c>
      <c r="Q40" s="4">
        <f t="shared" si="32"/>
        <v>0.40000000000000036</v>
      </c>
      <c r="R40" s="5">
        <f t="shared" si="33"/>
        <v>7.4000000000000057</v>
      </c>
      <c r="V40" s="3" t="s">
        <v>33</v>
      </c>
      <c r="W40" s="4">
        <v>10.4</v>
      </c>
      <c r="X40" s="4">
        <v>10.5</v>
      </c>
      <c r="Y40" s="4">
        <v>75</v>
      </c>
      <c r="Z40" s="4">
        <v>76.599999999999994</v>
      </c>
      <c r="AA40" s="4">
        <f t="shared" si="34"/>
        <v>9.9999999999999645E-2</v>
      </c>
      <c r="AB40" s="5">
        <f t="shared" si="35"/>
        <v>1.5999999999999943</v>
      </c>
      <c r="AG40" s="3" t="s">
        <v>33</v>
      </c>
      <c r="AH40" s="4">
        <v>10.4</v>
      </c>
      <c r="AI40" s="4"/>
      <c r="AJ40" s="4">
        <v>75</v>
      </c>
      <c r="AK40" s="4">
        <v>71</v>
      </c>
      <c r="AL40" s="4">
        <f t="shared" si="36"/>
        <v>10.4</v>
      </c>
      <c r="AM40" s="5">
        <f t="shared" si="37"/>
        <v>4</v>
      </c>
      <c r="AR40" s="3" t="s">
        <v>33</v>
      </c>
      <c r="AS40" s="4">
        <v>10.4</v>
      </c>
      <c r="AT40" s="4">
        <v>10.199999999999999</v>
      </c>
      <c r="AU40" s="4">
        <v>75</v>
      </c>
      <c r="AV40" s="4">
        <v>69</v>
      </c>
      <c r="AW40" s="4">
        <f t="shared" si="38"/>
        <v>0.20000000000000107</v>
      </c>
      <c r="AX40" s="5">
        <f t="shared" si="39"/>
        <v>6</v>
      </c>
    </row>
    <row r="41" spans="2:50" x14ac:dyDescent="0.25">
      <c r="B41" s="12"/>
      <c r="C41">
        <v>9.6</v>
      </c>
      <c r="D41">
        <v>8.9</v>
      </c>
      <c r="E41">
        <v>92</v>
      </c>
      <c r="F41">
        <v>82.3</v>
      </c>
      <c r="G41">
        <f t="shared" si="30"/>
        <v>0.69999999999999929</v>
      </c>
      <c r="H41" s="13">
        <f t="shared" si="31"/>
        <v>9.7000000000000028</v>
      </c>
      <c r="L41" s="12"/>
      <c r="M41">
        <v>9.6</v>
      </c>
      <c r="N41">
        <v>9.5</v>
      </c>
      <c r="O41">
        <v>92</v>
      </c>
      <c r="P41">
        <v>98</v>
      </c>
      <c r="Q41">
        <f t="shared" si="32"/>
        <v>9.9999999999999645E-2</v>
      </c>
      <c r="R41" s="13">
        <f t="shared" si="33"/>
        <v>6</v>
      </c>
      <c r="V41" s="12"/>
      <c r="W41">
        <v>9.6</v>
      </c>
      <c r="X41">
        <v>8.1999999999999993</v>
      </c>
      <c r="Y41">
        <v>92</v>
      </c>
      <c r="Z41">
        <v>96.4</v>
      </c>
      <c r="AA41">
        <f t="shared" si="34"/>
        <v>1.4000000000000004</v>
      </c>
      <c r="AB41" s="13">
        <f t="shared" si="35"/>
        <v>4.4000000000000057</v>
      </c>
      <c r="AG41" s="12"/>
      <c r="AH41">
        <v>9.6</v>
      </c>
      <c r="AJ41">
        <v>92</v>
      </c>
      <c r="AK41">
        <v>78.3</v>
      </c>
      <c r="AL41">
        <f t="shared" si="36"/>
        <v>9.6</v>
      </c>
      <c r="AM41" s="13">
        <f t="shared" si="37"/>
        <v>13.700000000000003</v>
      </c>
      <c r="AR41" s="12"/>
      <c r="AS41">
        <v>9.6</v>
      </c>
      <c r="AT41">
        <v>8.5</v>
      </c>
      <c r="AU41">
        <v>92</v>
      </c>
      <c r="AV41">
        <v>97.4</v>
      </c>
      <c r="AW41">
        <f t="shared" si="38"/>
        <v>1.0999999999999996</v>
      </c>
      <c r="AX41" s="13">
        <f t="shared" si="39"/>
        <v>5.4000000000000057</v>
      </c>
    </row>
    <row r="42" spans="2:50" x14ac:dyDescent="0.25">
      <c r="B42" s="6"/>
      <c r="C42" s="7">
        <v>10.4</v>
      </c>
      <c r="D42" s="7">
        <v>9.6999999999999993</v>
      </c>
      <c r="E42" s="7">
        <v>72</v>
      </c>
      <c r="F42" s="7">
        <v>65.5</v>
      </c>
      <c r="G42" s="7">
        <f t="shared" si="30"/>
        <v>0.70000000000000107</v>
      </c>
      <c r="H42" s="8">
        <f t="shared" si="31"/>
        <v>6.5</v>
      </c>
      <c r="L42" s="6"/>
      <c r="M42" s="7">
        <v>10.4</v>
      </c>
      <c r="N42" s="7">
        <v>9.8000000000000007</v>
      </c>
      <c r="O42" s="7">
        <v>72</v>
      </c>
      <c r="P42" s="7">
        <v>72</v>
      </c>
      <c r="Q42" s="7">
        <f t="shared" si="32"/>
        <v>0.59999999999999964</v>
      </c>
      <c r="R42" s="8">
        <f t="shared" si="33"/>
        <v>0</v>
      </c>
      <c r="V42" s="6"/>
      <c r="W42" s="7">
        <v>10.4</v>
      </c>
      <c r="X42" s="7">
        <v>9.4</v>
      </c>
      <c r="Y42" s="7">
        <v>72</v>
      </c>
      <c r="Z42" s="7">
        <v>82.9</v>
      </c>
      <c r="AA42" s="7">
        <f t="shared" si="34"/>
        <v>1</v>
      </c>
      <c r="AB42" s="8">
        <f t="shared" si="35"/>
        <v>10.900000000000006</v>
      </c>
      <c r="AG42" s="6"/>
      <c r="AH42" s="7">
        <v>10.4</v>
      </c>
      <c r="AI42" s="7"/>
      <c r="AJ42" s="7">
        <v>72</v>
      </c>
      <c r="AK42" s="7">
        <v>159</v>
      </c>
      <c r="AL42" s="7">
        <f t="shared" si="36"/>
        <v>10.4</v>
      </c>
      <c r="AM42" s="8">
        <f t="shared" si="37"/>
        <v>87</v>
      </c>
      <c r="AR42" s="6"/>
      <c r="AS42" s="7">
        <v>10.4</v>
      </c>
      <c r="AT42" s="7">
        <v>9.6</v>
      </c>
      <c r="AU42" s="7">
        <v>72</v>
      </c>
      <c r="AV42" s="7">
        <v>84.6</v>
      </c>
      <c r="AW42" s="7">
        <f t="shared" si="38"/>
        <v>0.80000000000000071</v>
      </c>
      <c r="AX42" s="8">
        <f t="shared" si="39"/>
        <v>12.599999999999994</v>
      </c>
    </row>
    <row r="43" spans="2:50" x14ac:dyDescent="0.25">
      <c r="B43" s="3" t="s">
        <v>34</v>
      </c>
      <c r="C43" s="4">
        <v>10.4</v>
      </c>
      <c r="D43" s="4">
        <v>9.1999999999999993</v>
      </c>
      <c r="E43" s="4">
        <v>95</v>
      </c>
      <c r="F43" s="4">
        <v>81.2</v>
      </c>
      <c r="G43" s="4">
        <f t="shared" si="30"/>
        <v>1.2000000000000011</v>
      </c>
      <c r="H43" s="5">
        <f t="shared" si="31"/>
        <v>13.799999999999997</v>
      </c>
      <c r="L43" s="3" t="s">
        <v>34</v>
      </c>
      <c r="M43" s="4">
        <v>10.4</v>
      </c>
      <c r="N43" s="4">
        <v>9.9</v>
      </c>
      <c r="O43" s="4">
        <v>95</v>
      </c>
      <c r="P43" s="4">
        <v>64.8</v>
      </c>
      <c r="Q43" s="4">
        <f t="shared" si="32"/>
        <v>0.5</v>
      </c>
      <c r="R43" s="5">
        <f t="shared" si="33"/>
        <v>30.200000000000003</v>
      </c>
      <c r="V43" s="3" t="s">
        <v>34</v>
      </c>
      <c r="W43" s="4">
        <v>10.4</v>
      </c>
      <c r="X43" s="4">
        <v>10.3</v>
      </c>
      <c r="Y43" s="4">
        <v>95</v>
      </c>
      <c r="Z43" s="4">
        <v>95.8</v>
      </c>
      <c r="AA43" s="4">
        <f t="shared" si="34"/>
        <v>9.9999999999999645E-2</v>
      </c>
      <c r="AB43" s="5">
        <f t="shared" si="35"/>
        <v>0.79999999999999716</v>
      </c>
      <c r="AG43" s="3" t="s">
        <v>34</v>
      </c>
      <c r="AH43" s="4">
        <v>10.4</v>
      </c>
      <c r="AI43" s="4"/>
      <c r="AJ43" s="4">
        <v>95</v>
      </c>
      <c r="AK43" s="4">
        <v>76.3</v>
      </c>
      <c r="AL43" s="4">
        <f t="shared" si="36"/>
        <v>10.4</v>
      </c>
      <c r="AM43" s="5">
        <f t="shared" si="37"/>
        <v>18.700000000000003</v>
      </c>
      <c r="AR43" s="3" t="s">
        <v>34</v>
      </c>
      <c r="AS43" s="4">
        <v>10.4</v>
      </c>
      <c r="AT43" s="4">
        <v>10</v>
      </c>
      <c r="AU43" s="4">
        <v>95</v>
      </c>
      <c r="AV43" s="4">
        <v>88.5</v>
      </c>
      <c r="AW43" s="4">
        <f t="shared" si="38"/>
        <v>0.40000000000000036</v>
      </c>
      <c r="AX43" s="5">
        <f t="shared" si="39"/>
        <v>6.5</v>
      </c>
    </row>
    <row r="44" spans="2:50" x14ac:dyDescent="0.25">
      <c r="B44" s="12"/>
      <c r="C44">
        <v>10.4</v>
      </c>
      <c r="D44">
        <v>10.4</v>
      </c>
      <c r="E44">
        <v>72</v>
      </c>
      <c r="F44">
        <v>72.8</v>
      </c>
      <c r="G44">
        <f t="shared" si="30"/>
        <v>0</v>
      </c>
      <c r="H44" s="13">
        <f t="shared" si="31"/>
        <v>0.79999999999999716</v>
      </c>
      <c r="L44" s="12"/>
      <c r="M44">
        <v>10.4</v>
      </c>
      <c r="N44">
        <v>9.6999999999999993</v>
      </c>
      <c r="O44">
        <v>72</v>
      </c>
      <c r="P44">
        <v>64.400000000000006</v>
      </c>
      <c r="Q44">
        <f t="shared" si="32"/>
        <v>0.70000000000000107</v>
      </c>
      <c r="R44" s="13">
        <f t="shared" si="33"/>
        <v>7.5999999999999943</v>
      </c>
      <c r="V44" s="12"/>
      <c r="W44">
        <v>10.4</v>
      </c>
      <c r="X44">
        <v>9.4</v>
      </c>
      <c r="Y44">
        <v>72</v>
      </c>
      <c r="Z44">
        <v>92.3</v>
      </c>
      <c r="AA44">
        <f t="shared" si="34"/>
        <v>1</v>
      </c>
      <c r="AB44" s="13">
        <f t="shared" si="35"/>
        <v>20.299999999999997</v>
      </c>
      <c r="AG44" s="12"/>
      <c r="AH44">
        <v>10.4</v>
      </c>
      <c r="AJ44">
        <v>72</v>
      </c>
      <c r="AK44">
        <v>72</v>
      </c>
      <c r="AL44">
        <f t="shared" si="36"/>
        <v>10.4</v>
      </c>
      <c r="AM44" s="13">
        <f t="shared" si="37"/>
        <v>0</v>
      </c>
      <c r="AR44" s="12"/>
      <c r="AS44">
        <v>10.4</v>
      </c>
      <c r="AT44">
        <v>10</v>
      </c>
      <c r="AU44">
        <v>72</v>
      </c>
      <c r="AV44">
        <v>74.900000000000006</v>
      </c>
      <c r="AW44">
        <f t="shared" si="38"/>
        <v>0.40000000000000036</v>
      </c>
      <c r="AX44" s="13">
        <f t="shared" si="39"/>
        <v>2.9000000000000057</v>
      </c>
    </row>
    <row r="45" spans="2:50" x14ac:dyDescent="0.25">
      <c r="B45" s="6"/>
      <c r="C45" s="7">
        <v>11.2</v>
      </c>
      <c r="D45">
        <v>10.9</v>
      </c>
      <c r="E45" s="7">
        <v>79</v>
      </c>
      <c r="F45" s="7">
        <v>69</v>
      </c>
      <c r="G45" s="7">
        <f t="shared" si="30"/>
        <v>0.29999999999999893</v>
      </c>
      <c r="H45" s="8">
        <f t="shared" si="31"/>
        <v>10</v>
      </c>
      <c r="L45" s="6"/>
      <c r="M45" s="7">
        <v>11.2</v>
      </c>
      <c r="N45">
        <v>10.3</v>
      </c>
      <c r="O45" s="7">
        <v>79</v>
      </c>
      <c r="P45" s="7">
        <v>75.5</v>
      </c>
      <c r="Q45" s="7">
        <f t="shared" si="32"/>
        <v>0.89999999999999858</v>
      </c>
      <c r="R45" s="8">
        <f t="shared" si="33"/>
        <v>3.5</v>
      </c>
      <c r="V45" s="6"/>
      <c r="W45" s="7">
        <v>11.2</v>
      </c>
      <c r="X45">
        <v>10.5</v>
      </c>
      <c r="Y45" s="7">
        <v>79</v>
      </c>
      <c r="Z45" s="7">
        <v>81.7</v>
      </c>
      <c r="AA45" s="7">
        <f t="shared" si="34"/>
        <v>0.69999999999999929</v>
      </c>
      <c r="AB45" s="8">
        <f t="shared" si="35"/>
        <v>2.7000000000000028</v>
      </c>
      <c r="AG45" s="6"/>
      <c r="AH45" s="7">
        <v>11.2</v>
      </c>
      <c r="AJ45" s="7">
        <v>79</v>
      </c>
      <c r="AK45" s="7">
        <v>121</v>
      </c>
      <c r="AL45" s="7">
        <f t="shared" si="36"/>
        <v>11.2</v>
      </c>
      <c r="AM45" s="8">
        <f t="shared" si="37"/>
        <v>42</v>
      </c>
      <c r="AR45" s="6"/>
      <c r="AS45" s="7">
        <v>11.2</v>
      </c>
      <c r="AT45">
        <v>11.2</v>
      </c>
      <c r="AU45" s="7">
        <v>79</v>
      </c>
      <c r="AV45" s="7">
        <v>67.3</v>
      </c>
      <c r="AW45" s="7">
        <f t="shared" si="38"/>
        <v>0</v>
      </c>
      <c r="AX45" s="8">
        <f t="shared" si="39"/>
        <v>11.700000000000003</v>
      </c>
    </row>
    <row r="46" spans="2:50" x14ac:dyDescent="0.25">
      <c r="B46" s="3" t="s">
        <v>35</v>
      </c>
      <c r="C46" s="4">
        <v>10</v>
      </c>
      <c r="D46" s="4">
        <v>8.6</v>
      </c>
      <c r="E46" s="4">
        <v>75</v>
      </c>
      <c r="F46" s="4">
        <v>76.400000000000006</v>
      </c>
      <c r="G46" s="4">
        <f t="shared" si="30"/>
        <v>1.4000000000000004</v>
      </c>
      <c r="H46" s="5">
        <f t="shared" si="31"/>
        <v>1.4000000000000057</v>
      </c>
      <c r="L46" s="3" t="s">
        <v>35</v>
      </c>
      <c r="M46" s="4">
        <v>10</v>
      </c>
      <c r="N46" s="4">
        <v>9.5</v>
      </c>
      <c r="O46" s="4">
        <v>75</v>
      </c>
      <c r="P46" s="4">
        <v>89.2</v>
      </c>
      <c r="Q46" s="4">
        <f t="shared" si="32"/>
        <v>0.5</v>
      </c>
      <c r="R46" s="5">
        <f t="shared" si="33"/>
        <v>14.200000000000003</v>
      </c>
      <c r="V46" s="3" t="s">
        <v>35</v>
      </c>
      <c r="W46" s="4">
        <v>10</v>
      </c>
      <c r="X46" s="4">
        <v>8.1999999999999993</v>
      </c>
      <c r="Y46" s="4">
        <v>75</v>
      </c>
      <c r="Z46" s="4">
        <v>91.7</v>
      </c>
      <c r="AA46" s="4">
        <f t="shared" si="34"/>
        <v>1.8000000000000007</v>
      </c>
      <c r="AB46" s="5">
        <f t="shared" si="35"/>
        <v>16.700000000000003</v>
      </c>
      <c r="AG46" s="3" t="s">
        <v>35</v>
      </c>
      <c r="AH46" s="4">
        <v>10</v>
      </c>
      <c r="AI46" s="4"/>
      <c r="AJ46" s="4">
        <v>75</v>
      </c>
      <c r="AK46" s="4">
        <v>111</v>
      </c>
      <c r="AL46" s="4">
        <f t="shared" si="36"/>
        <v>10</v>
      </c>
      <c r="AM46" s="5">
        <f t="shared" si="37"/>
        <v>36</v>
      </c>
      <c r="AR46" s="3" t="s">
        <v>35</v>
      </c>
      <c r="AS46" s="4">
        <v>10</v>
      </c>
      <c r="AT46" s="4">
        <v>9.4</v>
      </c>
      <c r="AU46" s="4">
        <v>75</v>
      </c>
      <c r="AV46" s="4">
        <v>72.599999999999994</v>
      </c>
      <c r="AW46" s="4">
        <f t="shared" si="38"/>
        <v>0.59999999999999964</v>
      </c>
      <c r="AX46" s="5">
        <f t="shared" si="39"/>
        <v>2.4000000000000057</v>
      </c>
    </row>
    <row r="47" spans="2:50" x14ac:dyDescent="0.25">
      <c r="B47" s="12"/>
      <c r="C47">
        <v>10</v>
      </c>
      <c r="D47">
        <v>10</v>
      </c>
      <c r="E47">
        <v>67</v>
      </c>
      <c r="F47">
        <v>78.099999999999994</v>
      </c>
      <c r="G47">
        <f t="shared" si="30"/>
        <v>0</v>
      </c>
      <c r="H47" s="13">
        <f t="shared" si="31"/>
        <v>11.099999999999994</v>
      </c>
      <c r="L47" s="12"/>
      <c r="M47">
        <v>10</v>
      </c>
      <c r="N47">
        <v>10</v>
      </c>
      <c r="O47">
        <v>67</v>
      </c>
      <c r="P47">
        <v>52.8</v>
      </c>
      <c r="Q47">
        <f t="shared" si="32"/>
        <v>0</v>
      </c>
      <c r="R47" s="13">
        <f t="shared" si="33"/>
        <v>14.200000000000003</v>
      </c>
      <c r="V47" s="12"/>
      <c r="W47">
        <v>10</v>
      </c>
      <c r="X47">
        <v>10.5</v>
      </c>
      <c r="Y47">
        <v>67</v>
      </c>
      <c r="Z47">
        <v>90.8</v>
      </c>
      <c r="AA47">
        <f t="shared" si="34"/>
        <v>0.5</v>
      </c>
      <c r="AB47" s="13">
        <f t="shared" si="35"/>
        <v>23.799999999999997</v>
      </c>
      <c r="AG47" s="12"/>
      <c r="AH47">
        <v>10</v>
      </c>
      <c r="AJ47">
        <v>67</v>
      </c>
      <c r="AK47">
        <v>69.599999999999994</v>
      </c>
      <c r="AL47">
        <f t="shared" si="36"/>
        <v>10</v>
      </c>
      <c r="AM47" s="13">
        <f t="shared" si="37"/>
        <v>2.5999999999999943</v>
      </c>
      <c r="AR47" s="12"/>
      <c r="AS47">
        <v>10</v>
      </c>
      <c r="AT47">
        <v>10.199999999999999</v>
      </c>
      <c r="AU47">
        <v>67</v>
      </c>
      <c r="AV47">
        <v>67.099999999999994</v>
      </c>
      <c r="AW47">
        <f t="shared" si="38"/>
        <v>0.19999999999999929</v>
      </c>
      <c r="AX47" s="13">
        <f t="shared" si="39"/>
        <v>9.9999999999994316E-2</v>
      </c>
    </row>
    <row r="48" spans="2:50" x14ac:dyDescent="0.25">
      <c r="B48" s="6"/>
      <c r="C48" s="7">
        <v>10.4</v>
      </c>
      <c r="D48" s="7">
        <v>9.6</v>
      </c>
      <c r="E48" s="7">
        <v>91</v>
      </c>
      <c r="F48" s="7">
        <v>71</v>
      </c>
      <c r="G48" s="7">
        <f t="shared" si="30"/>
        <v>0.80000000000000071</v>
      </c>
      <c r="H48" s="8">
        <f t="shared" si="31"/>
        <v>20</v>
      </c>
      <c r="L48" s="6"/>
      <c r="M48" s="7">
        <v>10.4</v>
      </c>
      <c r="N48" s="7">
        <v>9.6</v>
      </c>
      <c r="O48" s="7">
        <v>91</v>
      </c>
      <c r="P48" s="7">
        <v>61.2</v>
      </c>
      <c r="Q48" s="7">
        <f t="shared" si="32"/>
        <v>0.80000000000000071</v>
      </c>
      <c r="R48" s="8">
        <f t="shared" si="33"/>
        <v>29.799999999999997</v>
      </c>
      <c r="V48" s="6"/>
      <c r="W48" s="7">
        <v>10.4</v>
      </c>
      <c r="X48" s="7">
        <v>8.8000000000000007</v>
      </c>
      <c r="Y48" s="7">
        <v>91</v>
      </c>
      <c r="Z48" s="7">
        <v>93.5</v>
      </c>
      <c r="AA48" s="7">
        <f t="shared" si="34"/>
        <v>1.5999999999999996</v>
      </c>
      <c r="AB48" s="8">
        <f t="shared" si="35"/>
        <v>2.5</v>
      </c>
      <c r="AG48" s="6"/>
      <c r="AH48" s="7">
        <v>10.4</v>
      </c>
      <c r="AI48" s="7"/>
      <c r="AJ48" s="7">
        <v>91</v>
      </c>
      <c r="AK48" s="7">
        <v>163</v>
      </c>
      <c r="AL48" s="7">
        <f t="shared" si="36"/>
        <v>10.4</v>
      </c>
      <c r="AM48" s="8">
        <f t="shared" si="37"/>
        <v>72</v>
      </c>
      <c r="AR48" s="6"/>
      <c r="AS48" s="7">
        <v>10.4</v>
      </c>
      <c r="AT48" s="7">
        <v>9.8000000000000007</v>
      </c>
      <c r="AU48" s="7">
        <v>91</v>
      </c>
      <c r="AV48" s="7">
        <v>75</v>
      </c>
      <c r="AW48" s="7">
        <f t="shared" si="38"/>
        <v>0.59999999999999964</v>
      </c>
      <c r="AX48" s="8">
        <f t="shared" si="39"/>
        <v>16</v>
      </c>
    </row>
    <row r="49" spans="2:50" x14ac:dyDescent="0.25">
      <c r="B49" s="3" t="s">
        <v>36</v>
      </c>
      <c r="C49" s="4">
        <v>11.6</v>
      </c>
      <c r="D49" s="4">
        <v>11.4</v>
      </c>
      <c r="E49" s="4">
        <v>92</v>
      </c>
      <c r="F49" s="4">
        <v>66.3</v>
      </c>
      <c r="G49" s="4">
        <f t="shared" si="30"/>
        <v>0.19999999999999929</v>
      </c>
      <c r="H49" s="5">
        <f t="shared" si="31"/>
        <v>25.700000000000003</v>
      </c>
      <c r="L49" s="3" t="s">
        <v>36</v>
      </c>
      <c r="M49" s="4">
        <v>11.6</v>
      </c>
      <c r="N49" s="4">
        <v>10.7</v>
      </c>
      <c r="O49" s="4">
        <v>92</v>
      </c>
      <c r="P49" s="4">
        <v>49.2</v>
      </c>
      <c r="Q49" s="4">
        <f t="shared" si="32"/>
        <v>0.90000000000000036</v>
      </c>
      <c r="R49" s="5">
        <f t="shared" si="33"/>
        <v>42.8</v>
      </c>
      <c r="V49" s="3" t="s">
        <v>36</v>
      </c>
      <c r="W49" s="4">
        <v>11.6</v>
      </c>
      <c r="X49" s="4">
        <v>11.7</v>
      </c>
      <c r="Y49" s="4">
        <v>92</v>
      </c>
      <c r="Z49" s="4">
        <v>83.2</v>
      </c>
      <c r="AA49" s="4">
        <f t="shared" si="34"/>
        <v>9.9999999999999645E-2</v>
      </c>
      <c r="AB49" s="5">
        <f t="shared" si="35"/>
        <v>8.7999999999999972</v>
      </c>
      <c r="AG49" s="3" t="s">
        <v>36</v>
      </c>
      <c r="AH49" s="4">
        <v>11.6</v>
      </c>
      <c r="AI49" s="4"/>
      <c r="AJ49" s="4">
        <v>92</v>
      </c>
      <c r="AK49" s="4">
        <v>234</v>
      </c>
      <c r="AL49" s="4">
        <f t="shared" si="36"/>
        <v>11.6</v>
      </c>
      <c r="AM49" s="5">
        <f t="shared" si="37"/>
        <v>142</v>
      </c>
      <c r="AR49" s="3" t="s">
        <v>36</v>
      </c>
      <c r="AS49" s="4">
        <v>11.6</v>
      </c>
      <c r="AT49" s="4">
        <v>11.4</v>
      </c>
      <c r="AU49" s="4">
        <v>92</v>
      </c>
      <c r="AV49" s="4">
        <v>62.9</v>
      </c>
      <c r="AW49" s="4">
        <f t="shared" si="38"/>
        <v>0.19999999999999929</v>
      </c>
      <c r="AX49" s="5">
        <f t="shared" si="39"/>
        <v>29.1</v>
      </c>
    </row>
    <row r="50" spans="2:50" x14ac:dyDescent="0.25">
      <c r="B50" s="12"/>
      <c r="C50">
        <v>10</v>
      </c>
      <c r="D50">
        <v>8.1999999999999993</v>
      </c>
      <c r="E50">
        <v>71</v>
      </c>
      <c r="F50">
        <v>69.400000000000006</v>
      </c>
      <c r="G50">
        <f t="shared" si="30"/>
        <v>1.8000000000000007</v>
      </c>
      <c r="H50" s="13">
        <f t="shared" si="31"/>
        <v>1.5999999999999943</v>
      </c>
      <c r="L50" s="12"/>
      <c r="M50">
        <v>10</v>
      </c>
      <c r="N50">
        <v>9.4</v>
      </c>
      <c r="O50">
        <v>71</v>
      </c>
      <c r="P50">
        <v>54</v>
      </c>
      <c r="Q50">
        <f t="shared" si="32"/>
        <v>0.59999999999999964</v>
      </c>
      <c r="R50" s="13">
        <f t="shared" si="33"/>
        <v>17</v>
      </c>
      <c r="V50" s="12"/>
      <c r="W50">
        <v>10</v>
      </c>
      <c r="X50">
        <v>8.1999999999999993</v>
      </c>
      <c r="Y50">
        <v>71</v>
      </c>
      <c r="Z50">
        <v>96.7</v>
      </c>
      <c r="AA50">
        <f t="shared" si="34"/>
        <v>1.8000000000000007</v>
      </c>
      <c r="AB50" s="13">
        <f t="shared" si="35"/>
        <v>25.700000000000003</v>
      </c>
      <c r="AG50" s="12"/>
      <c r="AH50">
        <v>10</v>
      </c>
      <c r="AJ50">
        <v>71</v>
      </c>
      <c r="AK50">
        <v>139</v>
      </c>
      <c r="AL50">
        <f t="shared" si="36"/>
        <v>10</v>
      </c>
      <c r="AM50" s="13">
        <f t="shared" si="37"/>
        <v>68</v>
      </c>
      <c r="AR50" s="12"/>
      <c r="AS50">
        <v>10</v>
      </c>
      <c r="AT50">
        <v>8</v>
      </c>
      <c r="AU50">
        <v>71</v>
      </c>
      <c r="AV50">
        <v>63.2</v>
      </c>
      <c r="AW50">
        <f t="shared" si="38"/>
        <v>2</v>
      </c>
      <c r="AX50" s="13">
        <f t="shared" si="39"/>
        <v>7.7999999999999972</v>
      </c>
    </row>
    <row r="51" spans="2:50" x14ac:dyDescent="0.25">
      <c r="B51" s="12"/>
      <c r="C51">
        <v>11.2</v>
      </c>
      <c r="D51">
        <v>11</v>
      </c>
      <c r="E51">
        <v>105</v>
      </c>
      <c r="F51">
        <v>62</v>
      </c>
      <c r="G51">
        <f t="shared" si="30"/>
        <v>0.19999999999999929</v>
      </c>
      <c r="H51" s="13">
        <f t="shared" si="31"/>
        <v>43</v>
      </c>
      <c r="L51" s="12"/>
      <c r="M51">
        <v>11.2</v>
      </c>
      <c r="N51">
        <v>10.4</v>
      </c>
      <c r="O51">
        <v>105</v>
      </c>
      <c r="P51">
        <v>62.8</v>
      </c>
      <c r="Q51">
        <f t="shared" si="32"/>
        <v>0.79999999999999893</v>
      </c>
      <c r="R51" s="13">
        <f t="shared" si="33"/>
        <v>42.2</v>
      </c>
      <c r="V51" s="12"/>
      <c r="W51">
        <v>11.2</v>
      </c>
      <c r="X51">
        <v>10.5</v>
      </c>
      <c r="Y51">
        <v>105</v>
      </c>
      <c r="Z51">
        <v>85</v>
      </c>
      <c r="AA51">
        <f t="shared" si="34"/>
        <v>0.69999999999999929</v>
      </c>
      <c r="AB51" s="13">
        <f t="shared" si="35"/>
        <v>20</v>
      </c>
      <c r="AG51" s="12"/>
      <c r="AH51">
        <v>11.2</v>
      </c>
      <c r="AJ51">
        <v>105</v>
      </c>
      <c r="AK51">
        <v>69.5</v>
      </c>
      <c r="AL51">
        <f t="shared" si="36"/>
        <v>11.2</v>
      </c>
      <c r="AM51" s="13">
        <f t="shared" si="37"/>
        <v>35.5</v>
      </c>
      <c r="AR51" s="12"/>
      <c r="AS51">
        <v>11.2</v>
      </c>
      <c r="AT51">
        <v>11.4</v>
      </c>
      <c r="AU51">
        <v>105</v>
      </c>
      <c r="AV51">
        <v>59.3</v>
      </c>
      <c r="AW51">
        <f t="shared" si="38"/>
        <v>0.20000000000000107</v>
      </c>
      <c r="AX51" s="13">
        <f t="shared" si="39"/>
        <v>45.7</v>
      </c>
    </row>
    <row r="52" spans="2:50" x14ac:dyDescent="0.25">
      <c r="B52" s="6"/>
      <c r="C52" s="7">
        <v>10.4</v>
      </c>
      <c r="D52" s="7">
        <v>10.7</v>
      </c>
      <c r="E52" s="7">
        <v>72</v>
      </c>
      <c r="F52" s="7">
        <v>68.8</v>
      </c>
      <c r="G52" s="7">
        <f t="shared" si="30"/>
        <v>0.29999999999999893</v>
      </c>
      <c r="H52" s="8">
        <f t="shared" si="31"/>
        <v>3.2000000000000028</v>
      </c>
      <c r="L52" s="6"/>
      <c r="M52" s="7">
        <v>10.4</v>
      </c>
      <c r="N52" s="7">
        <v>10.1</v>
      </c>
      <c r="O52" s="7">
        <v>72</v>
      </c>
      <c r="P52" s="7">
        <v>69.599999999999994</v>
      </c>
      <c r="Q52" s="7">
        <f t="shared" si="32"/>
        <v>0.30000000000000071</v>
      </c>
      <c r="R52" s="8">
        <f t="shared" si="33"/>
        <v>2.4000000000000057</v>
      </c>
      <c r="V52" s="6"/>
      <c r="W52" s="7">
        <v>10.4</v>
      </c>
      <c r="X52" s="7">
        <v>10.5</v>
      </c>
      <c r="Y52" s="7">
        <v>72</v>
      </c>
      <c r="Z52" s="7">
        <v>84</v>
      </c>
      <c r="AA52" s="7">
        <f t="shared" si="34"/>
        <v>9.9999999999999645E-2</v>
      </c>
      <c r="AB52" s="8">
        <f t="shared" si="35"/>
        <v>12</v>
      </c>
      <c r="AG52" s="6"/>
      <c r="AH52" s="7">
        <v>10.4</v>
      </c>
      <c r="AI52" s="7"/>
      <c r="AJ52" s="7">
        <v>72</v>
      </c>
      <c r="AK52" s="7">
        <v>82.3</v>
      </c>
      <c r="AL52" s="7">
        <f t="shared" si="36"/>
        <v>10.4</v>
      </c>
      <c r="AM52" s="8">
        <f t="shared" si="37"/>
        <v>10.299999999999997</v>
      </c>
      <c r="AR52" s="6"/>
      <c r="AS52" s="7">
        <v>10.4</v>
      </c>
      <c r="AT52" s="7">
        <v>10.6</v>
      </c>
      <c r="AU52" s="7">
        <v>72</v>
      </c>
      <c r="AV52" s="7">
        <v>67</v>
      </c>
      <c r="AW52" s="7">
        <f t="shared" si="38"/>
        <v>0.19999999999999929</v>
      </c>
      <c r="AX52" s="8">
        <f t="shared" si="39"/>
        <v>5</v>
      </c>
    </row>
    <row r="53" spans="2:50" x14ac:dyDescent="0.25">
      <c r="B53" s="3" t="s">
        <v>37</v>
      </c>
      <c r="C53" s="4">
        <v>12.8</v>
      </c>
      <c r="D53" s="4">
        <v>12.3</v>
      </c>
      <c r="E53" s="4">
        <v>95</v>
      </c>
      <c r="F53" s="4">
        <v>56.6</v>
      </c>
      <c r="G53">
        <f t="shared" si="30"/>
        <v>0.5</v>
      </c>
      <c r="H53" s="13">
        <f t="shared" si="31"/>
        <v>38.4</v>
      </c>
      <c r="L53" s="3" t="s">
        <v>37</v>
      </c>
      <c r="M53" s="4">
        <v>12.8</v>
      </c>
      <c r="N53" s="4">
        <v>12.9</v>
      </c>
      <c r="O53" s="4">
        <v>95</v>
      </c>
      <c r="P53" s="4">
        <v>50</v>
      </c>
      <c r="Q53">
        <f t="shared" si="32"/>
        <v>9.9999999999999645E-2</v>
      </c>
      <c r="R53" s="13">
        <f t="shared" si="33"/>
        <v>45</v>
      </c>
      <c r="V53" s="3" t="s">
        <v>37</v>
      </c>
      <c r="W53" s="4">
        <v>12.8</v>
      </c>
      <c r="X53" s="4">
        <v>12.9</v>
      </c>
      <c r="Y53" s="4">
        <v>95</v>
      </c>
      <c r="Z53" s="4">
        <v>95.5</v>
      </c>
      <c r="AA53">
        <f t="shared" si="34"/>
        <v>9.9999999999999645E-2</v>
      </c>
      <c r="AB53" s="13">
        <f t="shared" si="35"/>
        <v>0.5</v>
      </c>
      <c r="AG53" s="3" t="s">
        <v>37</v>
      </c>
      <c r="AH53" s="4">
        <v>12.8</v>
      </c>
      <c r="AI53" s="4"/>
      <c r="AJ53" s="4">
        <v>95</v>
      </c>
      <c r="AK53" s="4">
        <v>150</v>
      </c>
      <c r="AL53">
        <f t="shared" si="36"/>
        <v>12.8</v>
      </c>
      <c r="AM53" s="13">
        <f t="shared" si="37"/>
        <v>55</v>
      </c>
      <c r="AR53" s="3" t="s">
        <v>37</v>
      </c>
      <c r="AS53" s="4">
        <v>12.8</v>
      </c>
      <c r="AT53" s="4">
        <v>12.4</v>
      </c>
      <c r="AU53" s="4">
        <v>95</v>
      </c>
      <c r="AV53" s="4">
        <v>57.6</v>
      </c>
      <c r="AW53">
        <f t="shared" si="38"/>
        <v>0.40000000000000036</v>
      </c>
      <c r="AX53" s="13">
        <f t="shared" si="39"/>
        <v>37.4</v>
      </c>
    </row>
    <row r="54" spans="2:50" x14ac:dyDescent="0.25">
      <c r="B54" s="12"/>
      <c r="C54">
        <v>10</v>
      </c>
      <c r="D54">
        <v>10</v>
      </c>
      <c r="E54">
        <v>76</v>
      </c>
      <c r="F54">
        <v>63.9</v>
      </c>
      <c r="G54">
        <f t="shared" si="30"/>
        <v>0</v>
      </c>
      <c r="H54" s="13">
        <f t="shared" si="31"/>
        <v>12.100000000000001</v>
      </c>
      <c r="L54" s="12"/>
      <c r="M54">
        <v>10</v>
      </c>
      <c r="N54">
        <v>9.8000000000000007</v>
      </c>
      <c r="O54">
        <v>76</v>
      </c>
      <c r="P54">
        <v>58.4</v>
      </c>
      <c r="Q54">
        <f t="shared" si="32"/>
        <v>0.19999999999999929</v>
      </c>
      <c r="R54" s="13">
        <f t="shared" si="33"/>
        <v>17.600000000000001</v>
      </c>
      <c r="V54" s="12"/>
      <c r="W54">
        <v>10</v>
      </c>
      <c r="X54">
        <v>10.5</v>
      </c>
      <c r="Y54">
        <v>76</v>
      </c>
      <c r="Z54">
        <v>80.599999999999994</v>
      </c>
      <c r="AA54">
        <f t="shared" si="34"/>
        <v>0.5</v>
      </c>
      <c r="AB54" s="13">
        <f t="shared" si="35"/>
        <v>4.5999999999999943</v>
      </c>
      <c r="AG54" s="12"/>
      <c r="AH54">
        <v>10</v>
      </c>
      <c r="AJ54">
        <v>76</v>
      </c>
      <c r="AK54">
        <v>61</v>
      </c>
      <c r="AL54">
        <f t="shared" si="36"/>
        <v>10</v>
      </c>
      <c r="AM54" s="13">
        <f t="shared" si="37"/>
        <v>15</v>
      </c>
      <c r="AR54" s="12"/>
      <c r="AS54">
        <v>10</v>
      </c>
      <c r="AT54">
        <v>10</v>
      </c>
      <c r="AU54">
        <v>76</v>
      </c>
      <c r="AV54">
        <v>69.599999999999994</v>
      </c>
      <c r="AW54">
        <f t="shared" si="38"/>
        <v>0</v>
      </c>
      <c r="AX54" s="13">
        <f t="shared" si="39"/>
        <v>6.4000000000000057</v>
      </c>
    </row>
    <row r="55" spans="2:50" x14ac:dyDescent="0.25">
      <c r="B55" s="12"/>
      <c r="C55">
        <v>10</v>
      </c>
      <c r="D55">
        <v>9</v>
      </c>
      <c r="E55">
        <v>72</v>
      </c>
      <c r="F55">
        <v>66</v>
      </c>
      <c r="G55">
        <f t="shared" si="30"/>
        <v>1</v>
      </c>
      <c r="H55" s="13">
        <f t="shared" si="31"/>
        <v>6</v>
      </c>
      <c r="L55" s="12"/>
      <c r="M55">
        <v>10</v>
      </c>
      <c r="N55">
        <v>9.5</v>
      </c>
      <c r="O55">
        <v>72</v>
      </c>
      <c r="P55">
        <v>50.8</v>
      </c>
      <c r="Q55">
        <f t="shared" si="32"/>
        <v>0.5</v>
      </c>
      <c r="R55" s="13">
        <f t="shared" si="33"/>
        <v>21.200000000000003</v>
      </c>
      <c r="V55" s="12"/>
      <c r="W55">
        <v>10</v>
      </c>
      <c r="X55">
        <v>9.4</v>
      </c>
      <c r="Y55">
        <v>72</v>
      </c>
      <c r="Z55">
        <v>79.7</v>
      </c>
      <c r="AA55">
        <f t="shared" si="34"/>
        <v>0.59999999999999964</v>
      </c>
      <c r="AB55" s="13">
        <f t="shared" si="35"/>
        <v>7.7000000000000028</v>
      </c>
      <c r="AG55" s="12"/>
      <c r="AH55">
        <v>10</v>
      </c>
      <c r="AJ55">
        <v>72</v>
      </c>
      <c r="AK55">
        <v>72.7</v>
      </c>
      <c r="AL55">
        <f t="shared" si="36"/>
        <v>10</v>
      </c>
      <c r="AM55" s="13">
        <f t="shared" si="37"/>
        <v>0.70000000000000284</v>
      </c>
      <c r="AR55" s="12"/>
      <c r="AS55">
        <v>10</v>
      </c>
      <c r="AT55">
        <v>9.6</v>
      </c>
      <c r="AU55">
        <v>72</v>
      </c>
      <c r="AV55">
        <v>57.3</v>
      </c>
      <c r="AW55">
        <f t="shared" si="38"/>
        <v>0.40000000000000036</v>
      </c>
      <c r="AX55" s="13">
        <f t="shared" si="39"/>
        <v>14.700000000000003</v>
      </c>
    </row>
    <row r="56" spans="2:50" x14ac:dyDescent="0.25">
      <c r="B56" s="6"/>
      <c r="C56" s="7">
        <v>10</v>
      </c>
      <c r="D56" s="7">
        <v>10.8</v>
      </c>
      <c r="E56" s="7">
        <v>102</v>
      </c>
      <c r="F56" s="7">
        <v>81</v>
      </c>
      <c r="G56" s="7">
        <f t="shared" si="30"/>
        <v>0.80000000000000071</v>
      </c>
      <c r="H56" s="13">
        <f t="shared" si="31"/>
        <v>21</v>
      </c>
      <c r="L56" s="6"/>
      <c r="M56" s="7">
        <v>10</v>
      </c>
      <c r="N56" s="7">
        <v>9.6999999999999993</v>
      </c>
      <c r="O56" s="7">
        <v>102</v>
      </c>
      <c r="P56" s="7">
        <v>102</v>
      </c>
      <c r="Q56" s="7">
        <f t="shared" si="32"/>
        <v>0.30000000000000071</v>
      </c>
      <c r="R56" s="8">
        <f t="shared" si="33"/>
        <v>0</v>
      </c>
      <c r="V56" s="6"/>
      <c r="W56" s="7">
        <v>10</v>
      </c>
      <c r="X56" s="7">
        <v>10</v>
      </c>
      <c r="Y56" s="7">
        <v>102</v>
      </c>
      <c r="Z56" s="7">
        <v>101</v>
      </c>
      <c r="AA56" s="7">
        <f t="shared" si="34"/>
        <v>0</v>
      </c>
      <c r="AB56" s="8">
        <f t="shared" si="35"/>
        <v>1</v>
      </c>
      <c r="AG56" s="6"/>
      <c r="AH56" s="7">
        <v>10</v>
      </c>
      <c r="AI56" s="7"/>
      <c r="AJ56" s="7">
        <v>102</v>
      </c>
      <c r="AK56" s="7">
        <v>136.80000000000001</v>
      </c>
      <c r="AL56" s="7">
        <f t="shared" si="36"/>
        <v>10</v>
      </c>
      <c r="AM56" s="8">
        <f t="shared" si="37"/>
        <v>34.800000000000011</v>
      </c>
      <c r="AR56" s="6"/>
      <c r="AS56" s="7">
        <v>10</v>
      </c>
      <c r="AT56" s="7">
        <v>10.5</v>
      </c>
      <c r="AU56" s="7">
        <v>102</v>
      </c>
      <c r="AV56" s="7">
        <v>84</v>
      </c>
      <c r="AW56" s="7">
        <f t="shared" si="38"/>
        <v>0.5</v>
      </c>
      <c r="AX56" s="8">
        <f t="shared" si="39"/>
        <v>18</v>
      </c>
    </row>
    <row r="57" spans="2:50" x14ac:dyDescent="0.25">
      <c r="B57" s="3" t="s">
        <v>38</v>
      </c>
      <c r="C57" s="4">
        <v>10.8</v>
      </c>
      <c r="D57" s="4">
        <v>10</v>
      </c>
      <c r="E57" s="4">
        <v>91</v>
      </c>
      <c r="F57" s="4">
        <v>68.8</v>
      </c>
      <c r="G57" s="4">
        <f t="shared" si="30"/>
        <v>0.80000000000000071</v>
      </c>
      <c r="H57" s="5">
        <f>ABS(F57-E57)</f>
        <v>22.200000000000003</v>
      </c>
      <c r="L57" s="3" t="s">
        <v>38</v>
      </c>
      <c r="M57" s="4">
        <v>10.8</v>
      </c>
      <c r="N57" s="4">
        <v>10</v>
      </c>
      <c r="O57" s="4">
        <v>91</v>
      </c>
      <c r="P57" s="4">
        <v>118.8</v>
      </c>
      <c r="Q57" s="4">
        <f t="shared" si="32"/>
        <v>0.80000000000000071</v>
      </c>
      <c r="R57" s="5">
        <f>ABS(P57-O57)</f>
        <v>27.799999999999997</v>
      </c>
      <c r="V57" s="3" t="s">
        <v>38</v>
      </c>
      <c r="W57" s="4">
        <v>10.8</v>
      </c>
      <c r="X57" s="4">
        <v>10</v>
      </c>
      <c r="Y57" s="4">
        <v>91</v>
      </c>
      <c r="Z57" s="4">
        <v>81.2</v>
      </c>
      <c r="AA57" s="4">
        <f t="shared" si="34"/>
        <v>0.80000000000000071</v>
      </c>
      <c r="AB57" s="5">
        <f>ABS(Z57-Y57)</f>
        <v>9.7999999999999972</v>
      </c>
      <c r="AG57" s="3" t="s">
        <v>38</v>
      </c>
      <c r="AH57" s="4">
        <v>10.8</v>
      </c>
      <c r="AI57" s="4"/>
      <c r="AJ57" s="4">
        <v>91</v>
      </c>
      <c r="AK57" s="4">
        <v>114.6</v>
      </c>
      <c r="AL57" s="4">
        <f t="shared" si="36"/>
        <v>10.8</v>
      </c>
      <c r="AM57" s="5">
        <f>ABS(AK57-AJ57)</f>
        <v>23.599999999999994</v>
      </c>
      <c r="AR57" s="3" t="s">
        <v>38</v>
      </c>
      <c r="AS57" s="4">
        <v>10.8</v>
      </c>
      <c r="AT57" s="4">
        <v>10</v>
      </c>
      <c r="AU57" s="4">
        <v>91</v>
      </c>
      <c r="AV57" s="4">
        <v>64.400000000000006</v>
      </c>
      <c r="AW57" s="4">
        <f t="shared" si="38"/>
        <v>0.80000000000000071</v>
      </c>
      <c r="AX57" s="5">
        <f>ABS(AV57-AU57)</f>
        <v>26.599999999999994</v>
      </c>
    </row>
    <row r="58" spans="2:50" x14ac:dyDescent="0.25">
      <c r="B58" s="12"/>
      <c r="C58">
        <v>8.8000000000000007</v>
      </c>
      <c r="D58">
        <v>8.1999999999999993</v>
      </c>
      <c r="E58">
        <v>94</v>
      </c>
      <c r="F58">
        <v>69.3</v>
      </c>
      <c r="G58">
        <f t="shared" si="30"/>
        <v>0.60000000000000142</v>
      </c>
      <c r="H58" s="13">
        <f t="shared" ref="H58:H64" si="40">ABS(F58-E58)</f>
        <v>24.700000000000003</v>
      </c>
      <c r="L58" s="12"/>
      <c r="M58">
        <v>8.8000000000000007</v>
      </c>
      <c r="N58">
        <v>9.4</v>
      </c>
      <c r="O58">
        <v>94</v>
      </c>
      <c r="P58">
        <v>76.400000000000006</v>
      </c>
      <c r="Q58">
        <f t="shared" si="32"/>
        <v>0.59999999999999964</v>
      </c>
      <c r="R58" s="13">
        <f t="shared" ref="R58:R64" si="41">ABS(P58-O58)</f>
        <v>17.599999999999994</v>
      </c>
      <c r="V58" s="12"/>
      <c r="W58">
        <v>8.8000000000000007</v>
      </c>
      <c r="X58">
        <v>7.3</v>
      </c>
      <c r="Y58">
        <v>94</v>
      </c>
      <c r="Z58">
        <v>83.5</v>
      </c>
      <c r="AA58">
        <f t="shared" si="34"/>
        <v>1.5000000000000009</v>
      </c>
      <c r="AB58" s="13">
        <f t="shared" ref="AB58:AB64" si="42">ABS(Z58-Y58)</f>
        <v>10.5</v>
      </c>
      <c r="AG58" s="12"/>
      <c r="AH58">
        <v>8.8000000000000007</v>
      </c>
      <c r="AJ58">
        <v>94</v>
      </c>
      <c r="AK58">
        <v>74.5</v>
      </c>
      <c r="AL58">
        <f t="shared" si="36"/>
        <v>8.8000000000000007</v>
      </c>
      <c r="AM58" s="13">
        <f t="shared" ref="AM58:AM64" si="43">ABS(AK58-AJ58)</f>
        <v>19.5</v>
      </c>
      <c r="AR58" s="12"/>
      <c r="AS58">
        <v>8.8000000000000007</v>
      </c>
      <c r="AT58">
        <v>8.8000000000000007</v>
      </c>
      <c r="AU58">
        <v>94</v>
      </c>
      <c r="AV58">
        <v>78.900000000000006</v>
      </c>
      <c r="AW58">
        <f>ABS(AS58-AT58)</f>
        <v>0</v>
      </c>
      <c r="AX58" s="13">
        <f t="shared" ref="AX58:AX64" si="44">ABS(AV58-AU58)</f>
        <v>15.099999999999994</v>
      </c>
    </row>
    <row r="59" spans="2:50" x14ac:dyDescent="0.25">
      <c r="B59" s="12"/>
      <c r="C59">
        <v>10</v>
      </c>
      <c r="D59">
        <v>9.5</v>
      </c>
      <c r="E59">
        <v>76</v>
      </c>
      <c r="F59">
        <v>78.400000000000006</v>
      </c>
      <c r="G59">
        <f t="shared" si="30"/>
        <v>0.5</v>
      </c>
      <c r="H59" s="13">
        <f t="shared" si="40"/>
        <v>2.4000000000000057</v>
      </c>
      <c r="L59" s="12"/>
      <c r="M59">
        <v>10</v>
      </c>
      <c r="N59">
        <v>9.6</v>
      </c>
      <c r="O59">
        <v>76</v>
      </c>
      <c r="P59">
        <v>85.6</v>
      </c>
      <c r="Q59">
        <f t="shared" si="32"/>
        <v>0.40000000000000036</v>
      </c>
      <c r="R59" s="13">
        <f t="shared" si="41"/>
        <v>9.5999999999999943</v>
      </c>
      <c r="V59" s="12"/>
      <c r="W59">
        <v>10</v>
      </c>
      <c r="X59">
        <v>9</v>
      </c>
      <c r="Y59">
        <v>76</v>
      </c>
      <c r="Z59">
        <v>77.599999999999994</v>
      </c>
      <c r="AA59">
        <f t="shared" si="34"/>
        <v>1</v>
      </c>
      <c r="AB59" s="13">
        <f t="shared" si="42"/>
        <v>1.5999999999999943</v>
      </c>
      <c r="AG59" s="12"/>
      <c r="AH59">
        <v>10</v>
      </c>
      <c r="AJ59">
        <v>76</v>
      </c>
      <c r="AK59">
        <v>172</v>
      </c>
      <c r="AL59">
        <f t="shared" si="36"/>
        <v>10</v>
      </c>
      <c r="AM59" s="13">
        <f t="shared" si="43"/>
        <v>96</v>
      </c>
      <c r="AR59" s="12"/>
      <c r="AS59">
        <v>10</v>
      </c>
      <c r="AT59">
        <v>10.15</v>
      </c>
      <c r="AU59">
        <v>76</v>
      </c>
      <c r="AV59">
        <v>89.7</v>
      </c>
      <c r="AW59">
        <f>ABS(AS59-AT59)</f>
        <v>0.15000000000000036</v>
      </c>
      <c r="AX59" s="13">
        <f t="shared" si="44"/>
        <v>13.700000000000003</v>
      </c>
    </row>
    <row r="60" spans="2:50" x14ac:dyDescent="0.25">
      <c r="B60" s="6"/>
      <c r="C60" s="7">
        <v>8.8000000000000007</v>
      </c>
      <c r="D60" s="7">
        <v>9.6999999999999993</v>
      </c>
      <c r="E60" s="7">
        <v>94</v>
      </c>
      <c r="F60" s="7">
        <v>83.2</v>
      </c>
      <c r="G60" s="7">
        <f t="shared" si="30"/>
        <v>0.89999999999999858</v>
      </c>
      <c r="H60" s="13">
        <f t="shared" si="40"/>
        <v>10.799999999999997</v>
      </c>
      <c r="L60" s="6"/>
      <c r="M60" s="7">
        <v>8.8000000000000007</v>
      </c>
      <c r="N60" s="7">
        <v>9.8000000000000007</v>
      </c>
      <c r="O60" s="7">
        <v>94</v>
      </c>
      <c r="P60" s="7">
        <v>113</v>
      </c>
      <c r="Q60" s="7">
        <f t="shared" si="32"/>
        <v>1</v>
      </c>
      <c r="R60" s="13">
        <f t="shared" si="41"/>
        <v>19</v>
      </c>
      <c r="V60" s="6"/>
      <c r="W60" s="7">
        <v>8.8000000000000007</v>
      </c>
      <c r="X60" s="7">
        <v>9</v>
      </c>
      <c r="Y60" s="7">
        <v>94</v>
      </c>
      <c r="Z60" s="7">
        <v>87</v>
      </c>
      <c r="AA60" s="7">
        <f t="shared" si="34"/>
        <v>0.19999999999999929</v>
      </c>
      <c r="AB60" s="13">
        <f t="shared" si="42"/>
        <v>7</v>
      </c>
      <c r="AG60" s="6"/>
      <c r="AH60" s="7">
        <v>8.8000000000000007</v>
      </c>
      <c r="AI60" s="7"/>
      <c r="AJ60" s="7">
        <v>94</v>
      </c>
      <c r="AK60" s="7">
        <v>165</v>
      </c>
      <c r="AL60" s="7">
        <f t="shared" si="36"/>
        <v>8.8000000000000007</v>
      </c>
      <c r="AM60" s="13">
        <f t="shared" si="43"/>
        <v>71</v>
      </c>
      <c r="AR60" s="6"/>
      <c r="AS60" s="7">
        <v>8.8000000000000007</v>
      </c>
      <c r="AT60" s="7">
        <v>9.1999999999999993</v>
      </c>
      <c r="AU60" s="7">
        <v>94</v>
      </c>
      <c r="AV60" s="7">
        <v>68.900000000000006</v>
      </c>
      <c r="AW60" s="7">
        <f t="shared" si="38"/>
        <v>0.39999999999999858</v>
      </c>
      <c r="AX60" s="13">
        <f t="shared" si="44"/>
        <v>25.099999999999994</v>
      </c>
    </row>
    <row r="61" spans="2:50" x14ac:dyDescent="0.25">
      <c r="B61" s="3" t="s">
        <v>39</v>
      </c>
      <c r="C61" s="4">
        <v>10.8</v>
      </c>
      <c r="D61" s="4">
        <v>10.7</v>
      </c>
      <c r="E61" s="4">
        <v>95</v>
      </c>
      <c r="F61" s="4">
        <v>68.7</v>
      </c>
      <c r="G61" s="4">
        <f t="shared" si="30"/>
        <v>0.10000000000000142</v>
      </c>
      <c r="H61" s="5">
        <f t="shared" si="40"/>
        <v>26.299999999999997</v>
      </c>
      <c r="L61" s="3" t="s">
        <v>39</v>
      </c>
      <c r="M61" s="4">
        <v>10.8</v>
      </c>
      <c r="N61" s="4">
        <v>10.1</v>
      </c>
      <c r="O61" s="4">
        <v>95</v>
      </c>
      <c r="P61" s="4">
        <v>93.6</v>
      </c>
      <c r="Q61" s="4">
        <f t="shared" si="32"/>
        <v>0.70000000000000107</v>
      </c>
      <c r="R61" s="5">
        <f t="shared" si="41"/>
        <v>1.4000000000000057</v>
      </c>
      <c r="V61" s="3" t="s">
        <v>39</v>
      </c>
      <c r="W61" s="4">
        <v>10.8</v>
      </c>
      <c r="X61" s="4">
        <v>10.5</v>
      </c>
      <c r="Y61" s="4">
        <v>95</v>
      </c>
      <c r="Z61" s="4">
        <v>88.5</v>
      </c>
      <c r="AA61" s="4">
        <f t="shared" si="34"/>
        <v>0.30000000000000071</v>
      </c>
      <c r="AB61" s="5">
        <f t="shared" si="42"/>
        <v>6.5</v>
      </c>
      <c r="AG61" s="3" t="s">
        <v>39</v>
      </c>
      <c r="AH61" s="4">
        <v>10.8</v>
      </c>
      <c r="AI61" s="4"/>
      <c r="AJ61" s="4">
        <v>95</v>
      </c>
      <c r="AK61" s="4">
        <v>106.5</v>
      </c>
      <c r="AL61" s="4">
        <f t="shared" si="36"/>
        <v>10.8</v>
      </c>
      <c r="AM61" s="5">
        <f t="shared" si="43"/>
        <v>11.5</v>
      </c>
      <c r="AR61" s="3" t="s">
        <v>39</v>
      </c>
      <c r="AS61" s="4">
        <v>10.8</v>
      </c>
      <c r="AT61" s="4">
        <v>10.6</v>
      </c>
      <c r="AU61" s="4">
        <v>95</v>
      </c>
      <c r="AV61" s="4">
        <v>86.7</v>
      </c>
      <c r="AW61" s="4">
        <f t="shared" si="38"/>
        <v>0.20000000000000107</v>
      </c>
      <c r="AX61" s="5">
        <f t="shared" si="44"/>
        <v>8.2999999999999972</v>
      </c>
    </row>
    <row r="62" spans="2:50" x14ac:dyDescent="0.25">
      <c r="B62" s="12"/>
      <c r="C62">
        <v>9.1999999999999993</v>
      </c>
      <c r="D62">
        <v>8.9</v>
      </c>
      <c r="E62">
        <v>101</v>
      </c>
      <c r="F62">
        <v>72.599999999999994</v>
      </c>
      <c r="G62">
        <f t="shared" si="30"/>
        <v>0.29999999999999893</v>
      </c>
      <c r="H62" s="13">
        <f t="shared" si="40"/>
        <v>28.400000000000006</v>
      </c>
      <c r="L62" s="12"/>
      <c r="M62">
        <v>9.1999999999999993</v>
      </c>
      <c r="N62">
        <v>9.3000000000000007</v>
      </c>
      <c r="O62">
        <v>101</v>
      </c>
      <c r="P62">
        <v>50.5</v>
      </c>
      <c r="Q62">
        <f t="shared" si="32"/>
        <v>0.10000000000000142</v>
      </c>
      <c r="R62" s="13">
        <f t="shared" si="41"/>
        <v>50.5</v>
      </c>
      <c r="V62" s="12"/>
      <c r="W62">
        <v>9.1999999999999993</v>
      </c>
      <c r="X62">
        <v>8.1999999999999993</v>
      </c>
      <c r="Y62">
        <v>101</v>
      </c>
      <c r="Z62">
        <v>95.8</v>
      </c>
      <c r="AA62">
        <f t="shared" si="34"/>
        <v>1</v>
      </c>
      <c r="AB62" s="13">
        <f t="shared" si="42"/>
        <v>5.2000000000000028</v>
      </c>
      <c r="AG62" s="12"/>
      <c r="AH62">
        <v>9.1999999999999993</v>
      </c>
      <c r="AJ62">
        <v>101</v>
      </c>
      <c r="AK62">
        <v>64.3</v>
      </c>
      <c r="AL62">
        <f t="shared" si="36"/>
        <v>9.1999999999999993</v>
      </c>
      <c r="AM62" s="13">
        <f t="shared" si="43"/>
        <v>36.700000000000003</v>
      </c>
      <c r="AR62" s="12"/>
      <c r="AS62">
        <v>9.1999999999999993</v>
      </c>
      <c r="AT62">
        <v>8.6</v>
      </c>
      <c r="AU62">
        <v>101</v>
      </c>
      <c r="AV62">
        <v>64.3</v>
      </c>
      <c r="AW62">
        <f t="shared" si="38"/>
        <v>0.59999999999999964</v>
      </c>
      <c r="AX62" s="13">
        <f t="shared" si="44"/>
        <v>36.700000000000003</v>
      </c>
    </row>
    <row r="63" spans="2:50" x14ac:dyDescent="0.25">
      <c r="B63" s="12"/>
      <c r="C63">
        <v>10</v>
      </c>
      <c r="D63">
        <v>7.1</v>
      </c>
      <c r="E63">
        <v>90</v>
      </c>
      <c r="F63">
        <v>70.8</v>
      </c>
      <c r="G63">
        <f t="shared" si="30"/>
        <v>2.9000000000000004</v>
      </c>
      <c r="H63" s="13">
        <f t="shared" si="40"/>
        <v>19.200000000000003</v>
      </c>
      <c r="L63" s="12"/>
      <c r="M63">
        <v>10</v>
      </c>
      <c r="N63">
        <v>8.8000000000000007</v>
      </c>
      <c r="O63">
        <v>90</v>
      </c>
      <c r="P63">
        <v>58.8</v>
      </c>
      <c r="Q63">
        <f t="shared" si="32"/>
        <v>1.1999999999999993</v>
      </c>
      <c r="R63" s="13">
        <f t="shared" si="41"/>
        <v>31.200000000000003</v>
      </c>
      <c r="V63" s="12"/>
      <c r="W63">
        <v>10</v>
      </c>
      <c r="X63">
        <v>7</v>
      </c>
      <c r="Y63">
        <v>90</v>
      </c>
      <c r="Z63">
        <v>88.5</v>
      </c>
      <c r="AA63">
        <f t="shared" si="34"/>
        <v>3</v>
      </c>
      <c r="AB63" s="13">
        <f t="shared" si="42"/>
        <v>1.5</v>
      </c>
      <c r="AG63" s="12"/>
      <c r="AH63">
        <v>10</v>
      </c>
      <c r="AJ63">
        <v>90</v>
      </c>
      <c r="AK63">
        <v>102</v>
      </c>
      <c r="AL63">
        <f t="shared" si="36"/>
        <v>10</v>
      </c>
      <c r="AM63" s="13">
        <f t="shared" si="43"/>
        <v>12</v>
      </c>
      <c r="AR63" s="12"/>
      <c r="AS63">
        <v>10</v>
      </c>
      <c r="AT63">
        <v>6.6</v>
      </c>
      <c r="AU63">
        <v>90</v>
      </c>
      <c r="AV63">
        <v>75.599999999999994</v>
      </c>
      <c r="AW63">
        <f t="shared" si="38"/>
        <v>3.4000000000000004</v>
      </c>
      <c r="AX63" s="13">
        <f t="shared" si="44"/>
        <v>14.400000000000006</v>
      </c>
    </row>
    <row r="64" spans="2:50" x14ac:dyDescent="0.25">
      <c r="B64" s="6"/>
      <c r="C64" s="7">
        <v>10.8</v>
      </c>
      <c r="D64" s="7">
        <v>8</v>
      </c>
      <c r="E64" s="7">
        <v>75</v>
      </c>
      <c r="F64" s="7">
        <v>65</v>
      </c>
      <c r="G64" s="7">
        <f t="shared" si="30"/>
        <v>2.8000000000000007</v>
      </c>
      <c r="H64" s="8">
        <f t="shared" si="40"/>
        <v>10</v>
      </c>
      <c r="L64" s="6"/>
      <c r="M64" s="7">
        <v>10.8</v>
      </c>
      <c r="N64" s="7">
        <v>9.4</v>
      </c>
      <c r="O64" s="7">
        <v>75</v>
      </c>
      <c r="P64" s="7">
        <v>53.2</v>
      </c>
      <c r="Q64" s="7">
        <f t="shared" si="32"/>
        <v>1.4000000000000004</v>
      </c>
      <c r="R64" s="13">
        <f t="shared" si="41"/>
        <v>21.799999999999997</v>
      </c>
      <c r="V64" s="6"/>
      <c r="W64" s="7">
        <v>10.8</v>
      </c>
      <c r="X64" s="7">
        <v>7.3</v>
      </c>
      <c r="Y64" s="7">
        <v>75</v>
      </c>
      <c r="Z64" s="7">
        <v>86.1</v>
      </c>
      <c r="AA64" s="7">
        <f t="shared" si="34"/>
        <v>3.5000000000000009</v>
      </c>
      <c r="AB64" s="13">
        <f t="shared" si="42"/>
        <v>11.099999999999994</v>
      </c>
      <c r="AG64" s="6"/>
      <c r="AH64" s="7">
        <v>10.8</v>
      </c>
      <c r="AI64" s="7"/>
      <c r="AJ64" s="7">
        <v>75</v>
      </c>
      <c r="AK64" s="7">
        <v>181.5</v>
      </c>
      <c r="AL64" s="7">
        <f t="shared" si="36"/>
        <v>10.8</v>
      </c>
      <c r="AM64" s="8">
        <f t="shared" si="43"/>
        <v>106.5</v>
      </c>
      <c r="AR64" s="6"/>
      <c r="AS64" s="7">
        <v>10.8</v>
      </c>
      <c r="AT64" s="7">
        <v>9.4</v>
      </c>
      <c r="AU64" s="7">
        <v>75</v>
      </c>
      <c r="AV64" s="7">
        <v>89.8</v>
      </c>
      <c r="AW64" s="7">
        <f t="shared" si="38"/>
        <v>1.4000000000000004</v>
      </c>
      <c r="AX64" s="13">
        <f t="shared" si="44"/>
        <v>14.799999999999997</v>
      </c>
    </row>
    <row r="65" spans="7:50" x14ac:dyDescent="0.25">
      <c r="G65">
        <f>AVERAGE(G2:G64)</f>
        <v>0.7587301587301587</v>
      </c>
      <c r="H65">
        <f>AVERAGE(H2:H64)</f>
        <v>13.374603174603177</v>
      </c>
      <c r="Q65">
        <f>AVERAGE(Q2:Q64)</f>
        <v>0.65873015873015883</v>
      </c>
      <c r="R65" s="4">
        <f>AVERAGE(R2:R64)</f>
        <v>19.652380952380952</v>
      </c>
      <c r="AA65">
        <f>AVERAGE(AA2:AA64)</f>
        <v>0.85238095238095246</v>
      </c>
      <c r="AB65" s="4">
        <f>AVERAGE(AB2:AB64)</f>
        <v>11.047619047619049</v>
      </c>
      <c r="AM65">
        <f>AVERAGE(AM2:AM64)</f>
        <v>41.614285714285721</v>
      </c>
      <c r="AW65">
        <f>AVERAGE(AW2:AW64)</f>
        <v>0.64984126984126989</v>
      </c>
      <c r="AX65" s="4">
        <f>AVERAGE(AX2:AX64)</f>
        <v>14.942857142857145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2026-01-23T10:38:24Z</dcterms:modified>
</cp:coreProperties>
</file>