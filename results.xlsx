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crist\Desktop\"/>
    </mc:Choice>
  </mc:AlternateContent>
  <xr:revisionPtr revIDLastSave="0" documentId="13_ncr:1_{895C783A-72EC-4783-B45B-03DD0C150A9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3" i="1" l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AB43" i="1"/>
  <c r="AA43" i="1"/>
  <c r="AB42" i="1"/>
  <c r="AA42" i="1"/>
  <c r="AB41" i="1"/>
  <c r="AA41" i="1"/>
  <c r="AB40" i="1"/>
  <c r="AA40" i="1"/>
  <c r="AB39" i="1"/>
  <c r="AA39" i="1"/>
  <c r="AB38" i="1"/>
  <c r="AA38" i="1"/>
  <c r="AB37" i="1"/>
  <c r="AA37" i="1"/>
  <c r="AB36" i="1"/>
  <c r="AA36" i="1"/>
  <c r="AL36" i="1"/>
  <c r="AL37" i="1"/>
  <c r="AL38" i="1"/>
  <c r="AL39" i="1"/>
  <c r="AL40" i="1"/>
  <c r="AL41" i="1"/>
  <c r="AL42" i="1"/>
  <c r="AL43" i="1"/>
  <c r="AM36" i="1"/>
  <c r="AM37" i="1"/>
  <c r="AM38" i="1"/>
  <c r="AM39" i="1"/>
  <c r="AM40" i="1"/>
  <c r="AM41" i="1"/>
  <c r="AM42" i="1"/>
  <c r="AM43" i="1"/>
  <c r="AX36" i="1"/>
  <c r="AX37" i="1"/>
  <c r="AX38" i="1"/>
  <c r="AX39" i="1"/>
  <c r="AX40" i="1"/>
  <c r="AX41" i="1"/>
  <c r="AX42" i="1"/>
  <c r="AX43" i="1"/>
  <c r="AW36" i="1"/>
  <c r="AW37" i="1"/>
  <c r="AW38" i="1"/>
  <c r="AW39" i="1"/>
  <c r="AW40" i="1"/>
  <c r="AW41" i="1"/>
  <c r="AW42" i="1"/>
  <c r="AW43" i="1"/>
  <c r="R38" i="1"/>
  <c r="R39" i="1"/>
  <c r="R40" i="1"/>
  <c r="R41" i="1"/>
  <c r="R42" i="1"/>
  <c r="R43" i="1"/>
  <c r="Q37" i="1"/>
  <c r="Q38" i="1"/>
  <c r="Q39" i="1"/>
  <c r="Q40" i="1"/>
  <c r="Q41" i="1"/>
  <c r="Q42" i="1"/>
  <c r="Q43" i="1"/>
  <c r="R37" i="1"/>
  <c r="R36" i="1"/>
  <c r="Q36" i="1"/>
  <c r="AX23" i="1"/>
  <c r="AW23" i="1"/>
  <c r="AX22" i="1"/>
  <c r="AW22" i="1"/>
  <c r="AX21" i="1"/>
  <c r="AW21" i="1"/>
  <c r="AX20" i="1"/>
  <c r="AW20" i="1"/>
  <c r="AX19" i="1"/>
  <c r="AW19" i="1"/>
  <c r="AX18" i="1"/>
  <c r="AW18" i="1"/>
  <c r="AX17" i="1"/>
  <c r="AW17" i="1"/>
  <c r="AX16" i="1"/>
  <c r="AW16" i="1"/>
  <c r="AX15" i="1"/>
  <c r="AW15" i="1"/>
  <c r="AX14" i="1"/>
  <c r="AW14" i="1"/>
  <c r="AM23" i="1"/>
  <c r="AL23" i="1"/>
  <c r="AM22" i="1"/>
  <c r="AL22" i="1"/>
  <c r="AM21" i="1"/>
  <c r="AL21" i="1"/>
  <c r="AM20" i="1"/>
  <c r="AL20" i="1"/>
  <c r="AM19" i="1"/>
  <c r="AL19" i="1"/>
  <c r="AM18" i="1"/>
  <c r="AL18" i="1"/>
  <c r="AM17" i="1"/>
  <c r="AL17" i="1"/>
  <c r="AM16" i="1"/>
  <c r="AL16" i="1"/>
  <c r="AM15" i="1"/>
  <c r="AL15" i="1"/>
  <c r="AM14" i="1"/>
  <c r="AL14" i="1"/>
  <c r="AB23" i="1"/>
  <c r="AA23" i="1"/>
  <c r="AB22" i="1"/>
  <c r="AA22" i="1"/>
  <c r="AB21" i="1"/>
  <c r="AA21" i="1"/>
  <c r="AB20" i="1"/>
  <c r="AA20" i="1"/>
  <c r="AB19" i="1"/>
  <c r="AA19" i="1"/>
  <c r="AB18" i="1"/>
  <c r="AA18" i="1"/>
  <c r="AB17" i="1"/>
  <c r="AA17" i="1"/>
  <c r="AB16" i="1"/>
  <c r="AA16" i="1"/>
  <c r="AB15" i="1"/>
  <c r="AA15" i="1"/>
  <c r="AB14" i="1"/>
  <c r="AA1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R15" i="1"/>
  <c r="Q15" i="1"/>
  <c r="R14" i="1"/>
  <c r="Q1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AA82" i="1"/>
  <c r="AX35" i="1"/>
  <c r="AW35" i="1"/>
  <c r="AX34" i="1"/>
  <c r="AW34" i="1"/>
  <c r="AX33" i="1"/>
  <c r="AW33" i="1"/>
  <c r="AX32" i="1"/>
  <c r="AW32" i="1"/>
  <c r="AX31" i="1"/>
  <c r="AW31" i="1"/>
  <c r="AX30" i="1"/>
  <c r="AW30" i="1"/>
  <c r="AX29" i="1"/>
  <c r="AW29" i="1"/>
  <c r="AX28" i="1"/>
  <c r="AW28" i="1"/>
  <c r="AM35" i="1"/>
  <c r="AL35" i="1"/>
  <c r="AM34" i="1"/>
  <c r="AL34" i="1"/>
  <c r="AM33" i="1"/>
  <c r="AL33" i="1"/>
  <c r="AM32" i="1"/>
  <c r="AL32" i="1"/>
  <c r="AM31" i="1"/>
  <c r="AL31" i="1"/>
  <c r="AM30" i="1"/>
  <c r="AL30" i="1"/>
  <c r="AM29" i="1"/>
  <c r="AL29" i="1"/>
  <c r="AM28" i="1"/>
  <c r="AL28" i="1"/>
  <c r="AB35" i="1"/>
  <c r="AA35" i="1"/>
  <c r="AB34" i="1"/>
  <c r="AA34" i="1"/>
  <c r="AB33" i="1"/>
  <c r="AA33" i="1"/>
  <c r="AB32" i="1"/>
  <c r="AA32" i="1"/>
  <c r="AB31" i="1"/>
  <c r="AA31" i="1"/>
  <c r="AB30" i="1"/>
  <c r="AA30" i="1"/>
  <c r="AB29" i="1"/>
  <c r="AA29" i="1"/>
  <c r="AB28" i="1"/>
  <c r="AA28" i="1"/>
  <c r="R35" i="1"/>
  <c r="Q35" i="1"/>
  <c r="R34" i="1"/>
  <c r="Q34" i="1"/>
  <c r="R33" i="1"/>
  <c r="Q33" i="1"/>
  <c r="R32" i="1"/>
  <c r="Q32" i="1"/>
  <c r="R31" i="1"/>
  <c r="Q31" i="1"/>
  <c r="R30" i="1"/>
  <c r="Q30" i="1"/>
  <c r="R29" i="1"/>
  <c r="Q29" i="1"/>
  <c r="R28" i="1"/>
  <c r="Q28" i="1"/>
  <c r="H28" i="1"/>
  <c r="H29" i="1"/>
  <c r="H30" i="1"/>
  <c r="H31" i="1"/>
  <c r="H32" i="1"/>
  <c r="H33" i="1"/>
  <c r="H34" i="1"/>
  <c r="H35" i="1"/>
  <c r="G28" i="1"/>
  <c r="G29" i="1"/>
  <c r="G30" i="1"/>
  <c r="G31" i="1"/>
  <c r="G32" i="1"/>
  <c r="G33" i="1"/>
  <c r="G34" i="1"/>
  <c r="G35" i="1"/>
  <c r="AX54" i="1" l="1"/>
  <c r="AW54" i="1"/>
  <c r="AX53" i="1"/>
  <c r="AW53" i="1"/>
  <c r="AX52" i="1"/>
  <c r="AW52" i="1"/>
  <c r="AM54" i="1"/>
  <c r="AL54" i="1"/>
  <c r="AM53" i="1"/>
  <c r="AL53" i="1"/>
  <c r="AM52" i="1"/>
  <c r="AL52" i="1"/>
  <c r="AB54" i="1"/>
  <c r="AA54" i="1"/>
  <c r="AB53" i="1"/>
  <c r="AA53" i="1"/>
  <c r="AB52" i="1"/>
  <c r="AA52" i="1"/>
  <c r="R54" i="1"/>
  <c r="Q54" i="1"/>
  <c r="R53" i="1"/>
  <c r="Q53" i="1"/>
  <c r="R52" i="1"/>
  <c r="Q52" i="1"/>
  <c r="H54" i="1"/>
  <c r="G54" i="1"/>
  <c r="H53" i="1"/>
  <c r="G53" i="1"/>
  <c r="H52" i="1"/>
  <c r="G52" i="1"/>
  <c r="AX82" i="1"/>
  <c r="AW82" i="1"/>
  <c r="AX81" i="1"/>
  <c r="AW81" i="1"/>
  <c r="AX80" i="1"/>
  <c r="AW80" i="1"/>
  <c r="AX79" i="1"/>
  <c r="AW79" i="1"/>
  <c r="AX78" i="1"/>
  <c r="AW78" i="1"/>
  <c r="AX77" i="1"/>
  <c r="AW77" i="1"/>
  <c r="AX76" i="1"/>
  <c r="AW76" i="1"/>
  <c r="AX75" i="1"/>
  <c r="AW75" i="1"/>
  <c r="AM82" i="1"/>
  <c r="AL82" i="1"/>
  <c r="AM81" i="1"/>
  <c r="AL81" i="1"/>
  <c r="AM80" i="1"/>
  <c r="AL80" i="1"/>
  <c r="AM79" i="1"/>
  <c r="AL79" i="1"/>
  <c r="AM78" i="1"/>
  <c r="AL78" i="1"/>
  <c r="AM77" i="1"/>
  <c r="AL77" i="1"/>
  <c r="AM76" i="1"/>
  <c r="AL76" i="1"/>
  <c r="AM75" i="1"/>
  <c r="AL75" i="1"/>
  <c r="AB82" i="1"/>
  <c r="AB81" i="1"/>
  <c r="AA81" i="1"/>
  <c r="AB80" i="1"/>
  <c r="AA80" i="1"/>
  <c r="AB79" i="1"/>
  <c r="AA79" i="1"/>
  <c r="AB78" i="1"/>
  <c r="AA78" i="1"/>
  <c r="AB77" i="1"/>
  <c r="AA77" i="1"/>
  <c r="AB76" i="1"/>
  <c r="AA76" i="1"/>
  <c r="AB75" i="1"/>
  <c r="AA75" i="1"/>
  <c r="R82" i="1"/>
  <c r="Q82" i="1"/>
  <c r="R81" i="1"/>
  <c r="Q81" i="1"/>
  <c r="R80" i="1"/>
  <c r="Q80" i="1"/>
  <c r="R79" i="1"/>
  <c r="Q79" i="1"/>
  <c r="R78" i="1"/>
  <c r="Q78" i="1"/>
  <c r="R77" i="1"/>
  <c r="Q77" i="1"/>
  <c r="R76" i="1"/>
  <c r="Q76" i="1"/>
  <c r="R75" i="1"/>
  <c r="Q75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AX74" i="1" l="1"/>
  <c r="AW74" i="1"/>
  <c r="AX73" i="1"/>
  <c r="AW73" i="1"/>
  <c r="AX72" i="1"/>
  <c r="AW72" i="1"/>
  <c r="AX71" i="1"/>
  <c r="AW71" i="1"/>
  <c r="AX70" i="1"/>
  <c r="AW70" i="1"/>
  <c r="AX69" i="1"/>
  <c r="AW69" i="1"/>
  <c r="AX68" i="1"/>
  <c r="AW68" i="1"/>
  <c r="AX67" i="1"/>
  <c r="AW67" i="1"/>
  <c r="AX66" i="1"/>
  <c r="AW66" i="1"/>
  <c r="AX65" i="1"/>
  <c r="AW65" i="1"/>
  <c r="AX64" i="1"/>
  <c r="AW64" i="1"/>
  <c r="AX63" i="1"/>
  <c r="AW63" i="1"/>
  <c r="AX62" i="1"/>
  <c r="AW62" i="1"/>
  <c r="AX61" i="1"/>
  <c r="AW61" i="1"/>
  <c r="AX60" i="1"/>
  <c r="AW60" i="1"/>
  <c r="AX59" i="1"/>
  <c r="AW59" i="1"/>
  <c r="AX58" i="1"/>
  <c r="AW58" i="1"/>
  <c r="AX57" i="1"/>
  <c r="AW57" i="1"/>
  <c r="AX56" i="1"/>
  <c r="AW56" i="1"/>
  <c r="AX55" i="1"/>
  <c r="AW55" i="1"/>
  <c r="AM74" i="1"/>
  <c r="AL74" i="1"/>
  <c r="AM73" i="1"/>
  <c r="AL73" i="1"/>
  <c r="AM72" i="1"/>
  <c r="AL72" i="1"/>
  <c r="AM71" i="1"/>
  <c r="AL71" i="1"/>
  <c r="AM70" i="1"/>
  <c r="AL70" i="1"/>
  <c r="AM69" i="1"/>
  <c r="AL69" i="1"/>
  <c r="AM68" i="1"/>
  <c r="AL68" i="1"/>
  <c r="AM67" i="1"/>
  <c r="AL67" i="1"/>
  <c r="AM66" i="1"/>
  <c r="AL66" i="1"/>
  <c r="AM65" i="1"/>
  <c r="AL65" i="1"/>
  <c r="AM64" i="1"/>
  <c r="AL64" i="1"/>
  <c r="AM63" i="1"/>
  <c r="AL63" i="1"/>
  <c r="AM62" i="1"/>
  <c r="AL62" i="1"/>
  <c r="AM61" i="1"/>
  <c r="AL61" i="1"/>
  <c r="AM60" i="1"/>
  <c r="AL60" i="1"/>
  <c r="AM59" i="1"/>
  <c r="AL59" i="1"/>
  <c r="AM58" i="1"/>
  <c r="AL58" i="1"/>
  <c r="AM57" i="1"/>
  <c r="AL57" i="1"/>
  <c r="AM56" i="1"/>
  <c r="AL56" i="1"/>
  <c r="AM55" i="1"/>
  <c r="AL55" i="1"/>
  <c r="AB74" i="1"/>
  <c r="AA74" i="1"/>
  <c r="AB73" i="1"/>
  <c r="AA73" i="1"/>
  <c r="AB72" i="1"/>
  <c r="AA72" i="1"/>
  <c r="AB71" i="1"/>
  <c r="AA71" i="1"/>
  <c r="AB70" i="1"/>
  <c r="AA70" i="1"/>
  <c r="AB69" i="1"/>
  <c r="AA69" i="1"/>
  <c r="AB68" i="1"/>
  <c r="AA68" i="1"/>
  <c r="AB67" i="1"/>
  <c r="AA67" i="1"/>
  <c r="AB66" i="1"/>
  <c r="AA66" i="1"/>
  <c r="AB65" i="1"/>
  <c r="AA65" i="1"/>
  <c r="AB64" i="1"/>
  <c r="AA64" i="1"/>
  <c r="AB63" i="1"/>
  <c r="AA63" i="1"/>
  <c r="AB62" i="1"/>
  <c r="AA62" i="1"/>
  <c r="AB61" i="1"/>
  <c r="AA61" i="1"/>
  <c r="AB60" i="1"/>
  <c r="AA60" i="1"/>
  <c r="AB59" i="1"/>
  <c r="AA59" i="1"/>
  <c r="AB58" i="1"/>
  <c r="AA58" i="1"/>
  <c r="AB57" i="1"/>
  <c r="AA57" i="1"/>
  <c r="AB56" i="1"/>
  <c r="AA56" i="1"/>
  <c r="AB55" i="1"/>
  <c r="AA55" i="1"/>
  <c r="R74" i="1"/>
  <c r="Q74" i="1"/>
  <c r="R73" i="1"/>
  <c r="Q73" i="1"/>
  <c r="R72" i="1"/>
  <c r="Q72" i="1"/>
  <c r="R71" i="1"/>
  <c r="Q71" i="1"/>
  <c r="R70" i="1"/>
  <c r="Q70" i="1"/>
  <c r="R69" i="1"/>
  <c r="Q69" i="1"/>
  <c r="R68" i="1"/>
  <c r="Q68" i="1"/>
  <c r="R67" i="1"/>
  <c r="Q67" i="1"/>
  <c r="R66" i="1"/>
  <c r="Q66" i="1"/>
  <c r="R65" i="1"/>
  <c r="Q65" i="1"/>
  <c r="R64" i="1"/>
  <c r="Q64" i="1"/>
  <c r="R63" i="1"/>
  <c r="Q63" i="1"/>
  <c r="R62" i="1"/>
  <c r="Q62" i="1"/>
  <c r="R61" i="1"/>
  <c r="Q61" i="1"/>
  <c r="R60" i="1"/>
  <c r="Q60" i="1"/>
  <c r="R59" i="1"/>
  <c r="Q59" i="1"/>
  <c r="R58" i="1"/>
  <c r="Q58" i="1"/>
  <c r="R57" i="1"/>
  <c r="Q57" i="1"/>
  <c r="R56" i="1"/>
  <c r="Q56" i="1"/>
  <c r="R55" i="1"/>
  <c r="Q55" i="1"/>
  <c r="H74" i="1" l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AX51" i="1" l="1"/>
  <c r="AW51" i="1"/>
  <c r="AX50" i="1"/>
  <c r="AW50" i="1"/>
  <c r="AX49" i="1"/>
  <c r="AW49" i="1"/>
  <c r="AX48" i="1"/>
  <c r="AW48" i="1"/>
  <c r="AX47" i="1"/>
  <c r="AW47" i="1"/>
  <c r="AX46" i="1"/>
  <c r="AW46" i="1"/>
  <c r="AX45" i="1"/>
  <c r="AW45" i="1"/>
  <c r="AX44" i="1"/>
  <c r="AW44" i="1"/>
  <c r="AX27" i="1"/>
  <c r="AW27" i="1"/>
  <c r="AX26" i="1"/>
  <c r="AW26" i="1"/>
  <c r="AX25" i="1"/>
  <c r="AW25" i="1"/>
  <c r="AX24" i="1"/>
  <c r="AW24" i="1"/>
  <c r="AX13" i="1"/>
  <c r="AW13" i="1"/>
  <c r="AX12" i="1"/>
  <c r="AW12" i="1"/>
  <c r="AX11" i="1"/>
  <c r="AW11" i="1"/>
  <c r="AX10" i="1"/>
  <c r="AW10" i="1"/>
  <c r="AX9" i="1"/>
  <c r="AW9" i="1"/>
  <c r="AX8" i="1"/>
  <c r="AW8" i="1"/>
  <c r="AX7" i="1"/>
  <c r="AW7" i="1"/>
  <c r="AX6" i="1"/>
  <c r="AW6" i="1"/>
  <c r="AX5" i="1"/>
  <c r="AW5" i="1"/>
  <c r="AX4" i="1"/>
  <c r="AW4" i="1"/>
  <c r="AX3" i="1"/>
  <c r="AW3" i="1"/>
  <c r="AX2" i="1"/>
  <c r="AX83" i="1" s="1"/>
  <c r="AW2" i="1"/>
  <c r="AW83" i="1" s="1"/>
  <c r="AM13" i="1" l="1"/>
  <c r="AL13" i="1"/>
  <c r="H13" i="1"/>
  <c r="G13" i="1"/>
  <c r="R13" i="1"/>
  <c r="Q13" i="1"/>
  <c r="AM51" i="1"/>
  <c r="AL51" i="1"/>
  <c r="AM50" i="1"/>
  <c r="AL50" i="1"/>
  <c r="AM49" i="1"/>
  <c r="AL49" i="1"/>
  <c r="AM48" i="1"/>
  <c r="AL48" i="1"/>
  <c r="AM47" i="1"/>
  <c r="AL47" i="1"/>
  <c r="AM46" i="1"/>
  <c r="AL46" i="1"/>
  <c r="AM45" i="1"/>
  <c r="AL45" i="1"/>
  <c r="AM44" i="1"/>
  <c r="AL44" i="1"/>
  <c r="AM27" i="1"/>
  <c r="AL27" i="1"/>
  <c r="AM26" i="1"/>
  <c r="AL26" i="1"/>
  <c r="R51" i="1"/>
  <c r="Q51" i="1"/>
  <c r="R50" i="1"/>
  <c r="Q50" i="1"/>
  <c r="R49" i="1"/>
  <c r="Q49" i="1"/>
  <c r="R48" i="1"/>
  <c r="Q48" i="1"/>
  <c r="R47" i="1"/>
  <c r="Q47" i="1"/>
  <c r="R46" i="1"/>
  <c r="Q46" i="1"/>
  <c r="R45" i="1"/>
  <c r="Q45" i="1"/>
  <c r="R44" i="1"/>
  <c r="Q44" i="1"/>
  <c r="R27" i="1"/>
  <c r="Q27" i="1"/>
  <c r="R26" i="1"/>
  <c r="Q26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27" i="1"/>
  <c r="G27" i="1"/>
  <c r="H26" i="1"/>
  <c r="G26" i="1"/>
  <c r="Q24" i="1"/>
  <c r="R24" i="1"/>
  <c r="Q25" i="1"/>
  <c r="R25" i="1"/>
  <c r="AB13" i="1"/>
  <c r="AA13" i="1"/>
  <c r="AB51" i="1"/>
  <c r="AA51" i="1"/>
  <c r="AB50" i="1"/>
  <c r="AA50" i="1"/>
  <c r="AB49" i="1"/>
  <c r="AA49" i="1"/>
  <c r="AB48" i="1"/>
  <c r="AA48" i="1"/>
  <c r="AB47" i="1"/>
  <c r="AA47" i="1"/>
  <c r="AB46" i="1"/>
  <c r="AA46" i="1"/>
  <c r="AB45" i="1"/>
  <c r="AA45" i="1"/>
  <c r="AB44" i="1"/>
  <c r="AA44" i="1"/>
  <c r="AB27" i="1"/>
  <c r="AA27" i="1"/>
  <c r="AB26" i="1"/>
  <c r="AA26" i="1"/>
  <c r="AM25" i="1"/>
  <c r="AL25" i="1"/>
  <c r="AM24" i="1"/>
  <c r="AL24" i="1"/>
  <c r="AM12" i="1"/>
  <c r="AL12" i="1"/>
  <c r="AM11" i="1"/>
  <c r="AL11" i="1"/>
  <c r="AM10" i="1"/>
  <c r="AL10" i="1"/>
  <c r="AM9" i="1"/>
  <c r="AL9" i="1"/>
  <c r="AM8" i="1"/>
  <c r="AL8" i="1"/>
  <c r="AM7" i="1"/>
  <c r="AL7" i="1"/>
  <c r="AM6" i="1"/>
  <c r="AL6" i="1"/>
  <c r="AM5" i="1"/>
  <c r="AL5" i="1"/>
  <c r="AM4" i="1"/>
  <c r="AL4" i="1"/>
  <c r="AM3" i="1"/>
  <c r="AL3" i="1"/>
  <c r="AM2" i="1"/>
  <c r="AL2" i="1"/>
  <c r="AB12" i="1"/>
  <c r="AA12" i="1"/>
  <c r="AB11" i="1"/>
  <c r="AA11" i="1"/>
  <c r="AB10" i="1"/>
  <c r="AA10" i="1"/>
  <c r="AB9" i="1"/>
  <c r="AA9" i="1"/>
  <c r="AB8" i="1"/>
  <c r="AA8" i="1"/>
  <c r="AB7" i="1"/>
  <c r="AA7" i="1"/>
  <c r="AB6" i="1"/>
  <c r="AA6" i="1"/>
  <c r="R12" i="1"/>
  <c r="Q12" i="1"/>
  <c r="R11" i="1"/>
  <c r="Q11" i="1"/>
  <c r="R10" i="1"/>
  <c r="Q10" i="1"/>
  <c r="R9" i="1"/>
  <c r="Q9" i="1"/>
  <c r="R8" i="1"/>
  <c r="Q8" i="1"/>
  <c r="R7" i="1"/>
  <c r="Q7" i="1"/>
  <c r="R6" i="1"/>
  <c r="Q6" i="1"/>
  <c r="H12" i="1"/>
  <c r="G12" i="1"/>
  <c r="H11" i="1"/>
  <c r="G11" i="1"/>
  <c r="H10" i="1"/>
  <c r="G10" i="1"/>
  <c r="H9" i="1"/>
  <c r="G9" i="1"/>
  <c r="H8" i="1"/>
  <c r="G8" i="1"/>
  <c r="H7" i="1"/>
  <c r="G7" i="1"/>
  <c r="H6" i="1"/>
  <c r="G6" i="1"/>
  <c r="AB25" i="1"/>
  <c r="AA25" i="1"/>
  <c r="AB24" i="1"/>
  <c r="AA24" i="1"/>
  <c r="AB5" i="1"/>
  <c r="AA5" i="1"/>
  <c r="AB4" i="1"/>
  <c r="AA4" i="1"/>
  <c r="AB3" i="1"/>
  <c r="AA3" i="1"/>
  <c r="AB2" i="1"/>
  <c r="AA2" i="1"/>
  <c r="R3" i="1"/>
  <c r="R4" i="1"/>
  <c r="R5" i="1"/>
  <c r="Q3" i="1"/>
  <c r="Q4" i="1"/>
  <c r="Q5" i="1"/>
  <c r="Q2" i="1"/>
  <c r="R2" i="1"/>
  <c r="H3" i="1"/>
  <c r="H4" i="1"/>
  <c r="H5" i="1"/>
  <c r="H24" i="1"/>
  <c r="H25" i="1"/>
  <c r="G3" i="1"/>
  <c r="G4" i="1"/>
  <c r="G5" i="1"/>
  <c r="G24" i="1"/>
  <c r="G25" i="1"/>
  <c r="H2" i="1"/>
  <c r="G2" i="1"/>
  <c r="G83" i="1" l="1"/>
  <c r="H83" i="1"/>
  <c r="AM83" i="1"/>
  <c r="AA83" i="1"/>
  <c r="R83" i="1"/>
  <c r="AB83" i="1"/>
  <c r="Q83" i="1"/>
</calcChain>
</file>

<file path=xl/sharedStrings.xml><?xml version="1.0" encoding="utf-8"?>
<sst xmlns="http://schemas.openxmlformats.org/spreadsheetml/2006/main" count="270" uniqueCount="60">
  <si>
    <t>yosef</t>
  </si>
  <si>
    <t>muhamad</t>
  </si>
  <si>
    <t>yosef2</t>
  </si>
  <si>
    <t>muhamad2</t>
  </si>
  <si>
    <t>muhamad-yosef</t>
  </si>
  <si>
    <t>Paper</t>
  </si>
  <si>
    <t>Name</t>
  </si>
  <si>
    <t>GT BR</t>
  </si>
  <si>
    <t>BR</t>
  </si>
  <si>
    <t>GT HR</t>
  </si>
  <si>
    <t>HR</t>
  </si>
  <si>
    <t>MAE BR</t>
  </si>
  <si>
    <t>MAE HR</t>
  </si>
  <si>
    <t>FMCW_Millimeter</t>
  </si>
  <si>
    <t>Vital-sign</t>
  </si>
  <si>
    <t>christian</t>
  </si>
  <si>
    <t>christian2</t>
  </si>
  <si>
    <t>christian3</t>
  </si>
  <si>
    <t>christian4</t>
  </si>
  <si>
    <t>christian5</t>
  </si>
  <si>
    <t>christian6</t>
  </si>
  <si>
    <t>christian7</t>
  </si>
  <si>
    <t>Detection_of</t>
  </si>
  <si>
    <t>BR (no BR)</t>
  </si>
  <si>
    <t>A high</t>
  </si>
  <si>
    <t>muhamad-yosef2</t>
  </si>
  <si>
    <t>yosef-muhamad</t>
  </si>
  <si>
    <t>muhamad-x-x-yosef</t>
  </si>
  <si>
    <t>yosef-x-eleonora</t>
  </si>
  <si>
    <t>x-yosef-x-eleonora</t>
  </si>
  <si>
    <t>x-eleonora</t>
  </si>
  <si>
    <t>Remote Monitoring</t>
  </si>
  <si>
    <t>yosef-muhamad-vasile</t>
  </si>
  <si>
    <t>x-vasile-yosef-muhamad</t>
  </si>
  <si>
    <t>yosef-x-muhamad-vasile</t>
  </si>
  <si>
    <t>muhamad-vasile-x-yosef</t>
  </si>
  <si>
    <t>christian-muhamad-yosef-vasile</t>
  </si>
  <si>
    <t>christian-vasile-muhamad-yosef</t>
  </si>
  <si>
    <t>christian-daniele-muhamad-yosef</t>
  </si>
  <si>
    <t>christian-yosef-muhamad-daniele</t>
  </si>
  <si>
    <t>christian-x-muhamad-yosef</t>
  </si>
  <si>
    <t xml:space="preserve">BR </t>
  </si>
  <si>
    <t>muhamad-yosef3</t>
  </si>
  <si>
    <t>muhamad-yosef4</t>
  </si>
  <si>
    <t>muhamad-yosef5</t>
  </si>
  <si>
    <t>muhamad-yosef6</t>
  </si>
  <si>
    <t>christian-x-x-x</t>
  </si>
  <si>
    <t>christian-x-x-x2</t>
  </si>
  <si>
    <t>christian-x-x-x3</t>
  </si>
  <si>
    <t>christian-x-x-x4</t>
  </si>
  <si>
    <t>christian-x-x-x5</t>
  </si>
  <si>
    <t>christian-x-x-x6</t>
  </si>
  <si>
    <t>christian-x-x-x7</t>
  </si>
  <si>
    <t>christian-x-x-x8</t>
  </si>
  <si>
    <t>christian-x-x-x9</t>
  </si>
  <si>
    <t>christian-x-x-x10</t>
  </si>
  <si>
    <t>muhamad-yosef7</t>
  </si>
  <si>
    <t>muhamad-yosef8</t>
  </si>
  <si>
    <t>muhamad-yosef9</t>
  </si>
  <si>
    <t>muhamad-yosef10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</si>
</sst>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2" borderId="1" xfId="0" applyFill="1" applyBorder="1"/>
    <xf numFmtId="0" fontId="1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0" xfId="0" applyBorder="1"/>
    <xf numFmtId="0" fontId="2" fillId="0" borderId="0" xfId="0" applyFont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2" borderId="8" xfId="0" applyFill="1" applyBorder="1"/>
    <xf numFmtId="3" fontId="0" fillId="0" borderId="9" xfId="0" applyNumberFormat="1" applyBorder="1"/>
    <xf numFmtId="0" fontId="0" fillId="3" borderId="9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83"/>
  <sheetViews>
    <sheetView tabSelected="1" zoomScale="115" zoomScaleNormal="115" workbookViewId="0">
      <selection activeCell="AP42" sqref="AP42"/>
    </sheetView>
  </sheetViews>
  <sheetFormatPr defaultRowHeight="15" x14ac:dyDescent="0.25"/>
  <cols>
    <col min="1" max="1" width="18.85546875" customWidth="1"/>
    <col min="2" max="2" width="30.140625" customWidth="1"/>
    <col min="8" max="8" width="10.5703125" customWidth="1"/>
    <col min="9" max="9" width="11.28515625" customWidth="1"/>
    <col min="11" max="11" width="17.42578125" customWidth="1"/>
    <col min="12" max="12" width="30" customWidth="1"/>
    <col min="18" max="18" width="8.7109375" customWidth="1"/>
    <col min="21" max="21" width="16" customWidth="1"/>
    <col min="22" max="22" width="29.85546875" customWidth="1"/>
    <col min="24" max="24" width="9" customWidth="1"/>
    <col min="28" max="28" width="9.140625" customWidth="1"/>
    <col min="32" max="32" width="8" customWidth="1"/>
    <col min="33" max="33" width="30" customWidth="1"/>
    <col min="35" max="35" width="10.28515625" customWidth="1"/>
    <col min="43" max="43" width="18.5703125" customWidth="1"/>
    <col min="44" max="44" width="31.5703125" customWidth="1"/>
    <col min="48" max="48" width="9.140625" customWidth="1"/>
    <col min="49" max="49" width="9.85546875" customWidth="1"/>
  </cols>
  <sheetData>
    <row r="1" spans="1:50" x14ac:dyDescent="0.25">
      <c r="A1" s="1" t="s">
        <v>5</v>
      </c>
      <c r="B1" s="15" t="s">
        <v>6</v>
      </c>
      <c r="C1" s="15" t="s">
        <v>7</v>
      </c>
      <c r="D1" s="15" t="s">
        <v>8</v>
      </c>
      <c r="E1" s="15" t="s">
        <v>9</v>
      </c>
      <c r="F1" s="15" t="s">
        <v>10</v>
      </c>
      <c r="G1" s="15" t="s">
        <v>11</v>
      </c>
      <c r="H1" s="15" t="s">
        <v>12</v>
      </c>
      <c r="K1" s="1" t="s">
        <v>5</v>
      </c>
      <c r="L1" s="15" t="s">
        <v>6</v>
      </c>
      <c r="M1" s="15" t="s">
        <v>7</v>
      </c>
      <c r="N1" s="15" t="s">
        <v>8</v>
      </c>
      <c r="O1" s="15" t="s">
        <v>9</v>
      </c>
      <c r="P1" s="15" t="s">
        <v>10</v>
      </c>
      <c r="Q1" s="15" t="s">
        <v>11</v>
      </c>
      <c r="R1" s="15" t="s">
        <v>12</v>
      </c>
      <c r="U1" s="1" t="s">
        <v>5</v>
      </c>
      <c r="V1" s="15" t="s">
        <v>6</v>
      </c>
      <c r="W1" s="15" t="s">
        <v>7</v>
      </c>
      <c r="X1" s="15" t="s">
        <v>41</v>
      </c>
      <c r="Y1" s="15" t="s">
        <v>9</v>
      </c>
      <c r="Z1" s="15" t="s">
        <v>10</v>
      </c>
      <c r="AA1" s="15" t="s">
        <v>11</v>
      </c>
      <c r="AB1" s="15" t="s">
        <v>12</v>
      </c>
      <c r="AF1" s="1" t="s">
        <v>5</v>
      </c>
      <c r="AG1" s="15" t="s">
        <v>6</v>
      </c>
      <c r="AH1" s="15" t="s">
        <v>7</v>
      </c>
      <c r="AI1" s="15" t="s">
        <v>23</v>
      </c>
      <c r="AJ1" s="15" t="s">
        <v>9</v>
      </c>
      <c r="AK1" s="15" t="s">
        <v>10</v>
      </c>
      <c r="AL1" s="15" t="s">
        <v>11</v>
      </c>
      <c r="AM1" s="15" t="s">
        <v>12</v>
      </c>
      <c r="AQ1" s="1" t="s">
        <v>5</v>
      </c>
      <c r="AR1" s="15" t="s">
        <v>6</v>
      </c>
      <c r="AS1" s="15" t="s">
        <v>7</v>
      </c>
      <c r="AT1" s="15" t="s">
        <v>8</v>
      </c>
      <c r="AU1" s="15" t="s">
        <v>9</v>
      </c>
      <c r="AV1" s="15" t="s">
        <v>10</v>
      </c>
      <c r="AW1" s="15" t="s">
        <v>11</v>
      </c>
      <c r="AX1" s="15" t="s">
        <v>12</v>
      </c>
    </row>
    <row r="2" spans="1:50" x14ac:dyDescent="0.25">
      <c r="A2" s="14" t="s">
        <v>14</v>
      </c>
      <c r="B2" s="14" t="s">
        <v>0</v>
      </c>
      <c r="C2" s="9">
        <v>17</v>
      </c>
      <c r="D2" s="9">
        <v>17</v>
      </c>
      <c r="E2" s="9">
        <v>105</v>
      </c>
      <c r="F2" s="9">
        <v>91.3</v>
      </c>
      <c r="G2" s="9">
        <f>ABS(C2-D2)</f>
        <v>0</v>
      </c>
      <c r="H2" s="10">
        <f>ABS(E2-F2)</f>
        <v>13.700000000000003</v>
      </c>
      <c r="K2" s="14" t="s">
        <v>13</v>
      </c>
      <c r="L2" s="14" t="s">
        <v>0</v>
      </c>
      <c r="M2" s="9">
        <v>17</v>
      </c>
      <c r="N2" s="9">
        <v>17.100000000000001</v>
      </c>
      <c r="O2" s="9">
        <v>105</v>
      </c>
      <c r="P2" s="9">
        <v>102.5</v>
      </c>
      <c r="Q2" s="9">
        <f>ABS(M2-N2)</f>
        <v>0.10000000000000142</v>
      </c>
      <c r="R2" s="10">
        <f>ABS(O2-P2)</f>
        <v>2.5</v>
      </c>
      <c r="U2" s="14" t="s">
        <v>22</v>
      </c>
      <c r="V2" s="14" t="s">
        <v>0</v>
      </c>
      <c r="W2" s="9">
        <v>17</v>
      </c>
      <c r="X2" s="9">
        <v>16.8</v>
      </c>
      <c r="Y2" s="9">
        <v>105</v>
      </c>
      <c r="Z2" s="9">
        <v>102.5</v>
      </c>
      <c r="AA2" s="9">
        <f>ABS(W2-X2)</f>
        <v>0.19999999999999929</v>
      </c>
      <c r="AB2" s="10">
        <f>ABS(Y2-Z2)</f>
        <v>2.5</v>
      </c>
      <c r="AF2" s="14" t="s">
        <v>24</v>
      </c>
      <c r="AG2" s="14" t="s">
        <v>0</v>
      </c>
      <c r="AH2" s="9">
        <v>17</v>
      </c>
      <c r="AI2" s="9"/>
      <c r="AJ2" s="9">
        <v>105</v>
      </c>
      <c r="AK2" s="9">
        <v>86.7</v>
      </c>
      <c r="AL2" s="9">
        <f>ABS(AH2-AI2)</f>
        <v>17</v>
      </c>
      <c r="AM2" s="10">
        <f>ABS(AJ2-AK2)</f>
        <v>18.299999999999997</v>
      </c>
      <c r="AQ2" s="14" t="s">
        <v>31</v>
      </c>
      <c r="AR2" s="14" t="s">
        <v>0</v>
      </c>
      <c r="AS2" s="9">
        <v>17</v>
      </c>
      <c r="AT2" s="9">
        <v>17</v>
      </c>
      <c r="AU2" s="9">
        <v>105</v>
      </c>
      <c r="AV2" s="9">
        <v>104.4</v>
      </c>
      <c r="AW2" s="9">
        <f>ABS(AS2-AT2)</f>
        <v>0</v>
      </c>
      <c r="AX2" s="10">
        <f>ABS(AU2-AV2)</f>
        <v>0.59999999999999432</v>
      </c>
    </row>
    <row r="3" spans="1:50" x14ac:dyDescent="0.25">
      <c r="B3" s="14" t="s">
        <v>1</v>
      </c>
      <c r="C3" s="9">
        <v>12</v>
      </c>
      <c r="D3" s="9">
        <v>11</v>
      </c>
      <c r="E3" s="9">
        <v>71</v>
      </c>
      <c r="F3" s="9">
        <v>65</v>
      </c>
      <c r="G3" s="9">
        <f t="shared" ref="G3:G12" si="0">ABS(C3-D3)</f>
        <v>1</v>
      </c>
      <c r="H3" s="10">
        <f t="shared" ref="H3:H12" si="1">ABS(E3-F3)</f>
        <v>6</v>
      </c>
      <c r="L3" s="14" t="s">
        <v>1</v>
      </c>
      <c r="M3" s="9">
        <v>12</v>
      </c>
      <c r="N3" s="9">
        <v>11.8</v>
      </c>
      <c r="O3" s="9">
        <v>71</v>
      </c>
      <c r="P3" s="9">
        <v>82.5</v>
      </c>
      <c r="Q3" s="9">
        <f t="shared" ref="Q3:Q12" si="2">ABS(M3-N3)</f>
        <v>0.19999999999999929</v>
      </c>
      <c r="R3" s="10">
        <f t="shared" ref="R3:R12" si="3">ABS(O3-P3)</f>
        <v>11.5</v>
      </c>
      <c r="V3" s="14" t="s">
        <v>1</v>
      </c>
      <c r="W3" s="9">
        <v>12</v>
      </c>
      <c r="X3" s="9">
        <v>10.199999999999999</v>
      </c>
      <c r="Y3" s="9">
        <v>71</v>
      </c>
      <c r="Z3" s="9">
        <v>110.6</v>
      </c>
      <c r="AA3" s="9">
        <f t="shared" ref="AA3:AA12" si="4">ABS(W3-X3)</f>
        <v>1.8000000000000007</v>
      </c>
      <c r="AB3" s="10">
        <f t="shared" ref="AB3:AB12" si="5">ABS(Y3-Z3)</f>
        <v>39.599999999999994</v>
      </c>
      <c r="AG3" s="14" t="s">
        <v>1</v>
      </c>
      <c r="AH3" s="9">
        <v>12</v>
      </c>
      <c r="AI3" s="9"/>
      <c r="AJ3" s="9">
        <v>71</v>
      </c>
      <c r="AK3" s="9">
        <v>81</v>
      </c>
      <c r="AL3" s="9">
        <f t="shared" ref="AL3:AL12" si="6">ABS(AH3-AI3)</f>
        <v>12</v>
      </c>
      <c r="AM3" s="10">
        <f t="shared" ref="AM3:AM12" si="7">ABS(AJ3-AK3)</f>
        <v>10</v>
      </c>
      <c r="AR3" s="14" t="s">
        <v>1</v>
      </c>
      <c r="AS3" s="9">
        <v>12</v>
      </c>
      <c r="AT3" s="9">
        <v>11</v>
      </c>
      <c r="AU3" s="9">
        <v>71</v>
      </c>
      <c r="AV3" s="9">
        <v>80</v>
      </c>
      <c r="AW3" s="9">
        <f t="shared" ref="AW3:AW12" si="8">ABS(AS3-AT3)</f>
        <v>1</v>
      </c>
      <c r="AX3" s="10">
        <f t="shared" ref="AX3:AX12" si="9">ABS(AU3-AV3)</f>
        <v>9</v>
      </c>
    </row>
    <row r="4" spans="1:50" x14ac:dyDescent="0.25">
      <c r="B4" s="14" t="s">
        <v>2</v>
      </c>
      <c r="C4" s="9">
        <v>16.5</v>
      </c>
      <c r="D4" s="9">
        <v>16</v>
      </c>
      <c r="E4" s="9">
        <v>100</v>
      </c>
      <c r="F4" s="9">
        <v>103</v>
      </c>
      <c r="G4" s="9">
        <f t="shared" si="0"/>
        <v>0.5</v>
      </c>
      <c r="H4" s="10">
        <f t="shared" si="1"/>
        <v>3</v>
      </c>
      <c r="L4" s="14" t="s">
        <v>2</v>
      </c>
      <c r="M4" s="9">
        <v>16.5</v>
      </c>
      <c r="N4" s="9">
        <v>16.7</v>
      </c>
      <c r="O4" s="9">
        <v>100</v>
      </c>
      <c r="P4" s="9">
        <v>100</v>
      </c>
      <c r="Q4" s="9">
        <f t="shared" si="2"/>
        <v>0.19999999999999929</v>
      </c>
      <c r="R4" s="10">
        <f t="shared" si="3"/>
        <v>0</v>
      </c>
      <c r="V4" s="14" t="s">
        <v>2</v>
      </c>
      <c r="W4" s="9">
        <v>16.5</v>
      </c>
      <c r="X4" s="9">
        <v>16.100000000000001</v>
      </c>
      <c r="Y4" s="9">
        <v>100</v>
      </c>
      <c r="Z4" s="9">
        <v>102.5</v>
      </c>
      <c r="AA4" s="9">
        <f t="shared" si="4"/>
        <v>0.39999999999999858</v>
      </c>
      <c r="AB4" s="10">
        <f t="shared" si="5"/>
        <v>2.5</v>
      </c>
      <c r="AG4" s="14" t="s">
        <v>2</v>
      </c>
      <c r="AH4" s="9">
        <v>16.5</v>
      </c>
      <c r="AI4" s="9"/>
      <c r="AJ4" s="9">
        <v>100</v>
      </c>
      <c r="AK4" s="9">
        <v>153.30000000000001</v>
      </c>
      <c r="AL4" s="9">
        <f t="shared" si="6"/>
        <v>16.5</v>
      </c>
      <c r="AM4" s="10">
        <f t="shared" si="7"/>
        <v>53.300000000000011</v>
      </c>
      <c r="AR4" s="14" t="s">
        <v>2</v>
      </c>
      <c r="AS4" s="9">
        <v>16.5</v>
      </c>
      <c r="AT4" s="9">
        <v>16.3</v>
      </c>
      <c r="AU4" s="9">
        <v>100</v>
      </c>
      <c r="AV4" s="9">
        <v>104</v>
      </c>
      <c r="AW4" s="9">
        <f t="shared" si="8"/>
        <v>0.19999999999999929</v>
      </c>
      <c r="AX4" s="10">
        <f t="shared" si="9"/>
        <v>4</v>
      </c>
    </row>
    <row r="5" spans="1:50" x14ac:dyDescent="0.25">
      <c r="B5" s="14" t="s">
        <v>3</v>
      </c>
      <c r="C5" s="9">
        <v>12.5</v>
      </c>
      <c r="D5" s="9">
        <v>12</v>
      </c>
      <c r="E5" s="9">
        <v>64</v>
      </c>
      <c r="F5" s="9">
        <v>84.8</v>
      </c>
      <c r="G5" s="9">
        <f t="shared" si="0"/>
        <v>0.5</v>
      </c>
      <c r="H5" s="10">
        <f t="shared" si="1"/>
        <v>20.799999999999997</v>
      </c>
      <c r="L5" s="14" t="s">
        <v>3</v>
      </c>
      <c r="M5" s="9">
        <v>12.5</v>
      </c>
      <c r="N5" s="9">
        <v>12</v>
      </c>
      <c r="O5" s="9">
        <v>64</v>
      </c>
      <c r="P5" s="9">
        <v>66</v>
      </c>
      <c r="Q5" s="9">
        <f t="shared" si="2"/>
        <v>0.5</v>
      </c>
      <c r="R5" s="10">
        <f t="shared" si="3"/>
        <v>2</v>
      </c>
      <c r="V5" s="14" t="s">
        <v>3</v>
      </c>
      <c r="W5" s="9">
        <v>12.5</v>
      </c>
      <c r="X5" s="9">
        <v>11.7</v>
      </c>
      <c r="Y5" s="9">
        <v>64</v>
      </c>
      <c r="Z5" s="9">
        <v>99.6</v>
      </c>
      <c r="AA5" s="9">
        <f t="shared" si="4"/>
        <v>0.80000000000000071</v>
      </c>
      <c r="AB5" s="10">
        <f t="shared" si="5"/>
        <v>35.599999999999994</v>
      </c>
      <c r="AG5" s="14" t="s">
        <v>3</v>
      </c>
      <c r="AH5" s="9">
        <v>12.5</v>
      </c>
      <c r="AI5" s="9"/>
      <c r="AJ5" s="9">
        <v>64</v>
      </c>
      <c r="AK5" s="9">
        <v>64.3</v>
      </c>
      <c r="AL5" s="9">
        <f t="shared" si="6"/>
        <v>12.5</v>
      </c>
      <c r="AM5" s="10">
        <f t="shared" si="7"/>
        <v>0.29999999999999716</v>
      </c>
      <c r="AR5" s="14" t="s">
        <v>3</v>
      </c>
      <c r="AS5" s="9">
        <v>12.5</v>
      </c>
      <c r="AT5" s="9">
        <v>12</v>
      </c>
      <c r="AU5" s="9">
        <v>64</v>
      </c>
      <c r="AV5" s="9">
        <v>66</v>
      </c>
      <c r="AW5" s="9">
        <f t="shared" si="8"/>
        <v>0.5</v>
      </c>
      <c r="AX5" s="10">
        <f t="shared" si="9"/>
        <v>2</v>
      </c>
    </row>
    <row r="6" spans="1:50" x14ac:dyDescent="0.25">
      <c r="B6" s="14" t="s">
        <v>15</v>
      </c>
      <c r="C6" s="9">
        <v>15</v>
      </c>
      <c r="D6" s="9">
        <v>14</v>
      </c>
      <c r="E6" s="9">
        <v>107</v>
      </c>
      <c r="F6" s="9">
        <v>104</v>
      </c>
      <c r="G6" s="9">
        <f t="shared" si="0"/>
        <v>1</v>
      </c>
      <c r="H6" s="10">
        <f t="shared" si="1"/>
        <v>3</v>
      </c>
      <c r="K6" s="11"/>
      <c r="L6" s="14" t="s">
        <v>15</v>
      </c>
      <c r="M6" s="9">
        <v>15</v>
      </c>
      <c r="N6" s="9">
        <v>13.7</v>
      </c>
      <c r="O6" s="9">
        <v>107</v>
      </c>
      <c r="P6" s="9">
        <v>105</v>
      </c>
      <c r="Q6" s="9">
        <f t="shared" si="2"/>
        <v>1.3000000000000007</v>
      </c>
      <c r="R6" s="10">
        <f t="shared" si="3"/>
        <v>2</v>
      </c>
      <c r="V6" s="14" t="s">
        <v>15</v>
      </c>
      <c r="W6" s="9">
        <v>15</v>
      </c>
      <c r="X6" s="9">
        <v>14.6</v>
      </c>
      <c r="Y6" s="9">
        <v>107</v>
      </c>
      <c r="Z6" s="9">
        <v>103.2</v>
      </c>
      <c r="AA6" s="9">
        <f t="shared" si="4"/>
        <v>0.40000000000000036</v>
      </c>
      <c r="AB6" s="10">
        <f t="shared" si="5"/>
        <v>3.7999999999999972</v>
      </c>
      <c r="AG6" s="14" t="s">
        <v>15</v>
      </c>
      <c r="AH6" s="9">
        <v>15</v>
      </c>
      <c r="AI6" s="9"/>
      <c r="AJ6" s="9">
        <v>107</v>
      </c>
      <c r="AK6" s="9">
        <v>216</v>
      </c>
      <c r="AL6" s="9">
        <f t="shared" si="6"/>
        <v>15</v>
      </c>
      <c r="AM6" s="10">
        <f t="shared" si="7"/>
        <v>109</v>
      </c>
      <c r="AR6" s="14" t="s">
        <v>15</v>
      </c>
      <c r="AS6" s="9">
        <v>15</v>
      </c>
      <c r="AT6" s="9">
        <v>14.5</v>
      </c>
      <c r="AU6" s="9">
        <v>107</v>
      </c>
      <c r="AV6" s="9">
        <v>105</v>
      </c>
      <c r="AW6" s="9">
        <f t="shared" si="8"/>
        <v>0.5</v>
      </c>
      <c r="AX6" s="10">
        <f t="shared" si="9"/>
        <v>2</v>
      </c>
    </row>
    <row r="7" spans="1:50" x14ac:dyDescent="0.25">
      <c r="B7" s="14" t="s">
        <v>16</v>
      </c>
      <c r="C7" s="9">
        <v>21.8</v>
      </c>
      <c r="D7" s="9">
        <v>21.7</v>
      </c>
      <c r="E7" s="9">
        <v>108</v>
      </c>
      <c r="F7" s="9">
        <v>94.3</v>
      </c>
      <c r="G7" s="9">
        <f t="shared" si="0"/>
        <v>0.10000000000000142</v>
      </c>
      <c r="H7" s="10">
        <f t="shared" si="1"/>
        <v>13.700000000000003</v>
      </c>
      <c r="K7" s="11"/>
      <c r="L7" s="14" t="s">
        <v>16</v>
      </c>
      <c r="M7" s="9">
        <v>21.8</v>
      </c>
      <c r="N7" s="9">
        <v>21.8</v>
      </c>
      <c r="O7" s="9">
        <v>108</v>
      </c>
      <c r="P7" s="9">
        <v>86.5</v>
      </c>
      <c r="Q7" s="9">
        <f t="shared" si="2"/>
        <v>0</v>
      </c>
      <c r="R7" s="10">
        <f t="shared" si="3"/>
        <v>21.5</v>
      </c>
      <c r="V7" s="14" t="s">
        <v>16</v>
      </c>
      <c r="W7" s="9">
        <v>21.8</v>
      </c>
      <c r="X7" s="9">
        <v>21.9</v>
      </c>
      <c r="Y7" s="9">
        <v>108</v>
      </c>
      <c r="Z7" s="9">
        <v>108</v>
      </c>
      <c r="AA7" s="17">
        <f t="shared" si="4"/>
        <v>9.9999999999997868E-2</v>
      </c>
      <c r="AB7" s="10">
        <f t="shared" si="5"/>
        <v>0</v>
      </c>
      <c r="AG7" s="14" t="s">
        <v>16</v>
      </c>
      <c r="AH7" s="9">
        <v>21.8</v>
      </c>
      <c r="AI7" s="16"/>
      <c r="AJ7" s="9">
        <v>108</v>
      </c>
      <c r="AK7" s="9">
        <v>216</v>
      </c>
      <c r="AL7" s="9">
        <f t="shared" si="6"/>
        <v>21.8</v>
      </c>
      <c r="AM7" s="10">
        <f t="shared" si="7"/>
        <v>108</v>
      </c>
      <c r="AR7" s="14" t="s">
        <v>16</v>
      </c>
      <c r="AS7" s="9">
        <v>21.8</v>
      </c>
      <c r="AT7" s="9">
        <v>21.8</v>
      </c>
      <c r="AU7" s="9">
        <v>108</v>
      </c>
      <c r="AV7" s="9">
        <v>91.8</v>
      </c>
      <c r="AW7" s="9">
        <f t="shared" si="8"/>
        <v>0</v>
      </c>
      <c r="AX7" s="10">
        <f t="shared" si="9"/>
        <v>16.200000000000003</v>
      </c>
    </row>
    <row r="8" spans="1:50" x14ac:dyDescent="0.25">
      <c r="B8" s="14" t="s">
        <v>17</v>
      </c>
      <c r="C8" s="9">
        <v>24.5</v>
      </c>
      <c r="D8" s="9">
        <v>20.5</v>
      </c>
      <c r="E8" s="9">
        <v>110</v>
      </c>
      <c r="F8" s="9">
        <v>107</v>
      </c>
      <c r="G8" s="9">
        <f t="shared" si="0"/>
        <v>4</v>
      </c>
      <c r="H8" s="10">
        <f t="shared" si="1"/>
        <v>3</v>
      </c>
      <c r="K8" s="11"/>
      <c r="L8" s="14" t="s">
        <v>17</v>
      </c>
      <c r="M8" s="9">
        <v>24.5</v>
      </c>
      <c r="N8" s="9">
        <v>23.9</v>
      </c>
      <c r="O8" s="9">
        <v>110</v>
      </c>
      <c r="P8" s="9">
        <v>51</v>
      </c>
      <c r="Q8" s="9">
        <f t="shared" si="2"/>
        <v>0.60000000000000142</v>
      </c>
      <c r="R8" s="10">
        <f t="shared" si="3"/>
        <v>59</v>
      </c>
      <c r="V8" s="14" t="s">
        <v>17</v>
      </c>
      <c r="W8" s="9">
        <v>24.5</v>
      </c>
      <c r="X8" s="9">
        <v>24.5</v>
      </c>
      <c r="Y8" s="9">
        <v>110</v>
      </c>
      <c r="Z8" s="9">
        <v>111</v>
      </c>
      <c r="AA8" s="17">
        <f t="shared" si="4"/>
        <v>0</v>
      </c>
      <c r="AB8" s="10">
        <f t="shared" si="5"/>
        <v>1</v>
      </c>
      <c r="AG8" s="14" t="s">
        <v>17</v>
      </c>
      <c r="AH8" s="9">
        <v>24.5</v>
      </c>
      <c r="AI8" s="9"/>
      <c r="AJ8" s="9">
        <v>110</v>
      </c>
      <c r="AK8" s="9">
        <v>222</v>
      </c>
      <c r="AL8" s="9">
        <f t="shared" si="6"/>
        <v>24.5</v>
      </c>
      <c r="AM8" s="10">
        <f t="shared" si="7"/>
        <v>112</v>
      </c>
      <c r="AR8" s="14" t="s">
        <v>17</v>
      </c>
      <c r="AS8" s="9">
        <v>24.5</v>
      </c>
      <c r="AT8" s="9">
        <v>23</v>
      </c>
      <c r="AU8" s="9">
        <v>110</v>
      </c>
      <c r="AV8" s="9">
        <v>81</v>
      </c>
      <c r="AW8" s="9">
        <f t="shared" si="8"/>
        <v>1.5</v>
      </c>
      <c r="AX8" s="10">
        <f t="shared" si="9"/>
        <v>29</v>
      </c>
    </row>
    <row r="9" spans="1:50" x14ac:dyDescent="0.25">
      <c r="B9" s="14" t="s">
        <v>18</v>
      </c>
      <c r="C9" s="9">
        <v>22</v>
      </c>
      <c r="D9" s="9">
        <v>20</v>
      </c>
      <c r="E9" s="9">
        <v>113</v>
      </c>
      <c r="F9" s="9">
        <v>64</v>
      </c>
      <c r="G9" s="9">
        <f t="shared" si="0"/>
        <v>2</v>
      </c>
      <c r="H9" s="10">
        <f t="shared" si="1"/>
        <v>49</v>
      </c>
      <c r="L9" s="14" t="s">
        <v>18</v>
      </c>
      <c r="M9" s="9">
        <v>22</v>
      </c>
      <c r="N9" s="9">
        <v>21.1</v>
      </c>
      <c r="O9" s="9">
        <v>113</v>
      </c>
      <c r="P9" s="9">
        <v>60.5</v>
      </c>
      <c r="Q9" s="9">
        <f t="shared" si="2"/>
        <v>0.89999999999999858</v>
      </c>
      <c r="R9" s="10">
        <f t="shared" si="3"/>
        <v>52.5</v>
      </c>
      <c r="V9" s="14" t="s">
        <v>18</v>
      </c>
      <c r="W9" s="9">
        <v>22</v>
      </c>
      <c r="X9" s="9">
        <v>20.5</v>
      </c>
      <c r="Y9" s="9">
        <v>113</v>
      </c>
      <c r="Z9" s="9">
        <v>100.7</v>
      </c>
      <c r="AA9" s="9">
        <f t="shared" si="4"/>
        <v>1.5</v>
      </c>
      <c r="AB9" s="10">
        <f t="shared" si="5"/>
        <v>12.299999999999997</v>
      </c>
      <c r="AG9" s="14" t="s">
        <v>18</v>
      </c>
      <c r="AH9" s="9">
        <v>22</v>
      </c>
      <c r="AI9" s="9"/>
      <c r="AJ9" s="9">
        <v>113</v>
      </c>
      <c r="AK9" s="9">
        <v>113.5</v>
      </c>
      <c r="AL9" s="9">
        <f t="shared" si="6"/>
        <v>22</v>
      </c>
      <c r="AM9" s="10">
        <f t="shared" si="7"/>
        <v>0.5</v>
      </c>
      <c r="AR9" s="14" t="s">
        <v>18</v>
      </c>
      <c r="AS9" s="9">
        <v>22</v>
      </c>
      <c r="AT9" s="9">
        <v>20.8</v>
      </c>
      <c r="AU9" s="9">
        <v>113</v>
      </c>
      <c r="AV9" s="9">
        <v>71.2</v>
      </c>
      <c r="AW9" s="9">
        <f t="shared" si="8"/>
        <v>1.1999999999999993</v>
      </c>
      <c r="AX9" s="10">
        <f t="shared" si="9"/>
        <v>41.8</v>
      </c>
    </row>
    <row r="10" spans="1:50" x14ac:dyDescent="0.25">
      <c r="B10" s="14" t="s">
        <v>19</v>
      </c>
      <c r="C10" s="9">
        <v>25.5</v>
      </c>
      <c r="D10" s="9">
        <v>22</v>
      </c>
      <c r="E10" s="9">
        <v>110</v>
      </c>
      <c r="F10" s="9">
        <v>76</v>
      </c>
      <c r="G10" s="9">
        <f t="shared" si="0"/>
        <v>3.5</v>
      </c>
      <c r="H10" s="10">
        <f t="shared" si="1"/>
        <v>34</v>
      </c>
      <c r="L10" s="14" t="s">
        <v>19</v>
      </c>
      <c r="M10" s="9">
        <v>25.5</v>
      </c>
      <c r="N10" s="9">
        <v>25.5</v>
      </c>
      <c r="O10" s="9">
        <v>110</v>
      </c>
      <c r="P10" s="9">
        <v>75.5</v>
      </c>
      <c r="Q10" s="9">
        <f t="shared" si="2"/>
        <v>0</v>
      </c>
      <c r="R10" s="10">
        <f t="shared" si="3"/>
        <v>34.5</v>
      </c>
      <c r="V10" s="14" t="s">
        <v>19</v>
      </c>
      <c r="W10" s="9">
        <v>25.5</v>
      </c>
      <c r="X10" s="9">
        <v>24.9</v>
      </c>
      <c r="Y10" s="9">
        <v>110</v>
      </c>
      <c r="Z10" s="9">
        <v>105.1</v>
      </c>
      <c r="AA10" s="9">
        <f t="shared" si="4"/>
        <v>0.60000000000000142</v>
      </c>
      <c r="AB10" s="10">
        <f t="shared" si="5"/>
        <v>4.9000000000000057</v>
      </c>
      <c r="AG10" s="14" t="s">
        <v>19</v>
      </c>
      <c r="AH10" s="9">
        <v>25.5</v>
      </c>
      <c r="AI10" s="9"/>
      <c r="AJ10" s="9">
        <v>110</v>
      </c>
      <c r="AK10" s="9">
        <v>206</v>
      </c>
      <c r="AL10" s="9">
        <f t="shared" si="6"/>
        <v>25.5</v>
      </c>
      <c r="AM10" s="10">
        <f t="shared" si="7"/>
        <v>96</v>
      </c>
      <c r="AR10" s="14" t="s">
        <v>19</v>
      </c>
      <c r="AS10" s="9">
        <v>25.5</v>
      </c>
      <c r="AT10" s="9">
        <v>25.5</v>
      </c>
      <c r="AU10" s="9">
        <v>110</v>
      </c>
      <c r="AV10" s="9">
        <v>75.5</v>
      </c>
      <c r="AW10" s="9">
        <f t="shared" si="8"/>
        <v>0</v>
      </c>
      <c r="AX10" s="10">
        <f t="shared" si="9"/>
        <v>34.5</v>
      </c>
    </row>
    <row r="11" spans="1:50" x14ac:dyDescent="0.25">
      <c r="B11" s="14" t="s">
        <v>20</v>
      </c>
      <c r="C11" s="9">
        <v>19.5</v>
      </c>
      <c r="D11" s="9">
        <v>19</v>
      </c>
      <c r="E11" s="9">
        <v>102</v>
      </c>
      <c r="F11" s="9">
        <v>79</v>
      </c>
      <c r="G11" s="9">
        <f t="shared" si="0"/>
        <v>0.5</v>
      </c>
      <c r="H11" s="10">
        <f t="shared" si="1"/>
        <v>23</v>
      </c>
      <c r="L11" s="14" t="s">
        <v>20</v>
      </c>
      <c r="M11" s="9">
        <v>19.5</v>
      </c>
      <c r="N11" s="9">
        <v>19</v>
      </c>
      <c r="O11" s="9">
        <v>102</v>
      </c>
      <c r="P11" s="9">
        <v>95.5</v>
      </c>
      <c r="Q11" s="9">
        <f t="shared" si="2"/>
        <v>0.5</v>
      </c>
      <c r="R11" s="10">
        <f t="shared" si="3"/>
        <v>6.5</v>
      </c>
      <c r="V11" s="14" t="s">
        <v>20</v>
      </c>
      <c r="W11" s="9">
        <v>19.5</v>
      </c>
      <c r="X11" s="9">
        <v>19</v>
      </c>
      <c r="Y11" s="9">
        <v>102</v>
      </c>
      <c r="Z11" s="9">
        <v>92.3</v>
      </c>
      <c r="AA11" s="9">
        <f t="shared" si="4"/>
        <v>0.5</v>
      </c>
      <c r="AB11" s="10">
        <f t="shared" si="5"/>
        <v>9.7000000000000028</v>
      </c>
      <c r="AG11" s="14" t="s">
        <v>20</v>
      </c>
      <c r="AH11" s="9">
        <v>19.5</v>
      </c>
      <c r="AI11" s="9"/>
      <c r="AJ11" s="9">
        <v>102</v>
      </c>
      <c r="AK11" s="9">
        <v>74.3</v>
      </c>
      <c r="AL11" s="9">
        <f t="shared" si="6"/>
        <v>19.5</v>
      </c>
      <c r="AM11" s="10">
        <f t="shared" si="7"/>
        <v>27.700000000000003</v>
      </c>
      <c r="AR11" s="14" t="s">
        <v>20</v>
      </c>
      <c r="AS11" s="9">
        <v>19.5</v>
      </c>
      <c r="AT11" s="9">
        <v>19</v>
      </c>
      <c r="AU11" s="9">
        <v>102</v>
      </c>
      <c r="AV11" s="9">
        <v>56</v>
      </c>
      <c r="AW11" s="9">
        <f t="shared" si="8"/>
        <v>0.5</v>
      </c>
      <c r="AX11" s="10">
        <f t="shared" si="9"/>
        <v>46</v>
      </c>
    </row>
    <row r="12" spans="1:50" x14ac:dyDescent="0.25">
      <c r="B12" s="14" t="s">
        <v>21</v>
      </c>
      <c r="C12" s="9">
        <v>13</v>
      </c>
      <c r="D12" s="9">
        <v>13</v>
      </c>
      <c r="E12" s="9">
        <v>104</v>
      </c>
      <c r="F12" s="9">
        <v>100</v>
      </c>
      <c r="G12" s="9">
        <f t="shared" si="0"/>
        <v>0</v>
      </c>
      <c r="H12" s="10">
        <f t="shared" si="1"/>
        <v>4</v>
      </c>
      <c r="L12" s="14" t="s">
        <v>21</v>
      </c>
      <c r="M12" s="9">
        <v>13</v>
      </c>
      <c r="N12" s="9">
        <v>12.5</v>
      </c>
      <c r="O12" s="9">
        <v>104</v>
      </c>
      <c r="P12" s="9">
        <v>65</v>
      </c>
      <c r="Q12" s="9">
        <f t="shared" si="2"/>
        <v>0.5</v>
      </c>
      <c r="R12" s="10">
        <f t="shared" si="3"/>
        <v>39</v>
      </c>
      <c r="V12" s="14" t="s">
        <v>21</v>
      </c>
      <c r="W12" s="9">
        <v>13</v>
      </c>
      <c r="X12" s="9">
        <v>13.2</v>
      </c>
      <c r="Y12" s="9">
        <v>104</v>
      </c>
      <c r="Z12" s="9">
        <v>102.5</v>
      </c>
      <c r="AA12" s="9">
        <f t="shared" si="4"/>
        <v>0.19999999999999929</v>
      </c>
      <c r="AB12" s="10">
        <f t="shared" si="5"/>
        <v>1.5</v>
      </c>
      <c r="AG12" s="14" t="s">
        <v>21</v>
      </c>
      <c r="AH12" s="9">
        <v>13</v>
      </c>
      <c r="AI12" s="9"/>
      <c r="AJ12" s="9">
        <v>104</v>
      </c>
      <c r="AK12" s="9">
        <v>110.7</v>
      </c>
      <c r="AL12" s="9">
        <f t="shared" si="6"/>
        <v>13</v>
      </c>
      <c r="AM12" s="10">
        <f t="shared" si="7"/>
        <v>6.7000000000000028</v>
      </c>
      <c r="AR12" s="14" t="s">
        <v>21</v>
      </c>
      <c r="AS12" s="9">
        <v>13</v>
      </c>
      <c r="AT12" s="9">
        <v>12.8</v>
      </c>
      <c r="AU12" s="9">
        <v>104</v>
      </c>
      <c r="AV12" s="9">
        <v>65</v>
      </c>
      <c r="AW12" s="9">
        <f t="shared" si="8"/>
        <v>0.19999999999999929</v>
      </c>
      <c r="AX12" s="10">
        <f t="shared" si="9"/>
        <v>39</v>
      </c>
    </row>
    <row r="13" spans="1:50" x14ac:dyDescent="0.25">
      <c r="B13" s="14" t="s">
        <v>30</v>
      </c>
      <c r="C13" s="9">
        <v>10</v>
      </c>
      <c r="D13" s="9">
        <v>8.6</v>
      </c>
      <c r="E13" s="9">
        <v>90</v>
      </c>
      <c r="F13" s="9">
        <v>88.1</v>
      </c>
      <c r="G13" s="9">
        <f>ABS(C13-D13)</f>
        <v>1.4000000000000004</v>
      </c>
      <c r="H13" s="10">
        <f>ABS(E13-F13)</f>
        <v>1.9000000000000057</v>
      </c>
      <c r="L13" s="14" t="s">
        <v>30</v>
      </c>
      <c r="M13" s="9">
        <v>10</v>
      </c>
      <c r="N13" s="9">
        <v>8.1</v>
      </c>
      <c r="O13" s="9">
        <v>90</v>
      </c>
      <c r="P13" s="9">
        <v>64</v>
      </c>
      <c r="Q13" s="9">
        <f>ABS(M13-N13)</f>
        <v>1.9000000000000004</v>
      </c>
      <c r="R13" s="10">
        <f>ABS(O13-P13)</f>
        <v>26</v>
      </c>
      <c r="V13" s="14" t="s">
        <v>30</v>
      </c>
      <c r="W13" s="9">
        <v>10</v>
      </c>
      <c r="X13" s="9">
        <v>8.8000000000000007</v>
      </c>
      <c r="Y13" s="9">
        <v>90</v>
      </c>
      <c r="Z13" s="9">
        <v>106.9</v>
      </c>
      <c r="AA13" s="9">
        <f>ABS(W13-X13)</f>
        <v>1.1999999999999993</v>
      </c>
      <c r="AB13" s="10">
        <f>ABS(Y13-Z13)</f>
        <v>16.900000000000006</v>
      </c>
      <c r="AG13" s="14" t="s">
        <v>30</v>
      </c>
      <c r="AH13" s="9">
        <v>10</v>
      </c>
      <c r="AI13" s="9"/>
      <c r="AJ13" s="9">
        <v>90</v>
      </c>
      <c r="AK13" s="9">
        <v>79.5</v>
      </c>
      <c r="AL13" s="9">
        <f>ABS(AH13-AI13)</f>
        <v>10</v>
      </c>
      <c r="AM13" s="10">
        <f>ABS(AJ13-AK13)</f>
        <v>10.5</v>
      </c>
      <c r="AR13" s="14" t="s">
        <v>30</v>
      </c>
      <c r="AS13" s="9">
        <v>10</v>
      </c>
      <c r="AT13" s="9">
        <v>9</v>
      </c>
      <c r="AU13" s="9">
        <v>90</v>
      </c>
      <c r="AV13" s="9">
        <v>66.5</v>
      </c>
      <c r="AW13" s="9">
        <f>ABS(AS13-AT13)</f>
        <v>1</v>
      </c>
      <c r="AX13" s="10">
        <f>ABS(AU13-AV13)</f>
        <v>23.5</v>
      </c>
    </row>
    <row r="14" spans="1:50" x14ac:dyDescent="0.25">
      <c r="A14" s="2"/>
      <c r="B14" s="14" t="s">
        <v>46</v>
      </c>
      <c r="C14" s="9">
        <v>16</v>
      </c>
      <c r="D14" s="9">
        <v>16</v>
      </c>
      <c r="E14" s="9">
        <v>85</v>
      </c>
      <c r="F14" s="9">
        <v>50.2</v>
      </c>
      <c r="G14" s="9">
        <f t="shared" ref="G14:G23" si="10">ABS(C14-D14)</f>
        <v>0</v>
      </c>
      <c r="H14" s="10">
        <f t="shared" ref="H14:H23" si="11">ABS(E14-F14)</f>
        <v>34.799999999999997</v>
      </c>
      <c r="L14" s="14" t="s">
        <v>46</v>
      </c>
      <c r="M14" s="9">
        <v>16</v>
      </c>
      <c r="N14" s="9">
        <v>16.7</v>
      </c>
      <c r="O14" s="9">
        <v>85</v>
      </c>
      <c r="P14" s="9">
        <v>50</v>
      </c>
      <c r="Q14" s="9">
        <f t="shared" ref="Q14:Q23" si="12">ABS(M14-N14)</f>
        <v>0.69999999999999929</v>
      </c>
      <c r="R14" s="10">
        <f t="shared" ref="R14:R23" si="13">ABS(O14-P14)</f>
        <v>35</v>
      </c>
      <c r="V14" s="14" t="s">
        <v>46</v>
      </c>
      <c r="W14" s="9">
        <v>16</v>
      </c>
      <c r="X14" s="9">
        <v>16</v>
      </c>
      <c r="Y14" s="9">
        <v>85</v>
      </c>
      <c r="Z14" s="9">
        <v>81.400000000000006</v>
      </c>
      <c r="AA14" s="9">
        <f t="shared" ref="AA14:AA23" si="14">ABS(W14-X14)</f>
        <v>0</v>
      </c>
      <c r="AB14" s="10">
        <f t="shared" ref="AB14:AB23" si="15">ABS(Y14-Z14)</f>
        <v>3.5999999999999943</v>
      </c>
      <c r="AG14" s="14" t="s">
        <v>46</v>
      </c>
      <c r="AH14" s="9">
        <v>16</v>
      </c>
      <c r="AI14" s="9"/>
      <c r="AJ14" s="9">
        <v>85</v>
      </c>
      <c r="AK14" s="9">
        <v>83.3</v>
      </c>
      <c r="AL14" s="9">
        <f t="shared" ref="AL14:AL23" si="16">ABS(AH14-AI14)</f>
        <v>16</v>
      </c>
      <c r="AM14" s="10">
        <f t="shared" ref="AM14:AM23" si="17">ABS(AJ14-AK14)</f>
        <v>1.7000000000000028</v>
      </c>
      <c r="AR14" s="14" t="s">
        <v>46</v>
      </c>
      <c r="AS14" s="9">
        <v>16</v>
      </c>
      <c r="AT14" s="9">
        <v>16.600000000000001</v>
      </c>
      <c r="AU14" s="9">
        <v>85</v>
      </c>
      <c r="AV14" s="9">
        <v>50</v>
      </c>
      <c r="AW14" s="9">
        <f t="shared" ref="AW14:AW23" si="18">ABS(AS14-AT14)</f>
        <v>0.60000000000000142</v>
      </c>
      <c r="AX14" s="10">
        <f t="shared" ref="AX14:AX23" si="19">ABS(AU14-AV14)</f>
        <v>35</v>
      </c>
    </row>
    <row r="15" spans="1:50" x14ac:dyDescent="0.25">
      <c r="B15" s="14" t="s">
        <v>47</v>
      </c>
      <c r="C15" s="9">
        <v>15.2</v>
      </c>
      <c r="D15" s="9">
        <v>15</v>
      </c>
      <c r="E15" s="9">
        <v>61</v>
      </c>
      <c r="F15" s="9">
        <v>55.7</v>
      </c>
      <c r="G15" s="9">
        <f t="shared" si="10"/>
        <v>0.19999999999999929</v>
      </c>
      <c r="H15" s="10">
        <f t="shared" si="11"/>
        <v>5.2999999999999972</v>
      </c>
      <c r="L15" s="14" t="s">
        <v>47</v>
      </c>
      <c r="M15" s="9">
        <v>15.2</v>
      </c>
      <c r="N15" s="9">
        <v>14.7</v>
      </c>
      <c r="O15" s="9">
        <v>61</v>
      </c>
      <c r="P15" s="9">
        <v>61.2</v>
      </c>
      <c r="Q15" s="9">
        <f t="shared" si="12"/>
        <v>0.5</v>
      </c>
      <c r="R15" s="10">
        <f t="shared" si="13"/>
        <v>0.20000000000000284</v>
      </c>
      <c r="V15" s="14" t="s">
        <v>47</v>
      </c>
      <c r="W15" s="9">
        <v>15.2</v>
      </c>
      <c r="X15" s="9">
        <v>15.2</v>
      </c>
      <c r="Y15" s="9">
        <v>61</v>
      </c>
      <c r="Z15" s="9">
        <v>86.4</v>
      </c>
      <c r="AA15" s="9">
        <f t="shared" si="14"/>
        <v>0</v>
      </c>
      <c r="AB15" s="10">
        <f t="shared" si="15"/>
        <v>25.400000000000006</v>
      </c>
      <c r="AG15" s="14" t="s">
        <v>47</v>
      </c>
      <c r="AH15" s="9">
        <v>15.2</v>
      </c>
      <c r="AI15" s="9"/>
      <c r="AJ15" s="9">
        <v>61</v>
      </c>
      <c r="AK15" s="9">
        <v>108.5</v>
      </c>
      <c r="AL15" s="9">
        <f t="shared" si="16"/>
        <v>15.2</v>
      </c>
      <c r="AM15" s="10">
        <f t="shared" si="17"/>
        <v>47.5</v>
      </c>
      <c r="AR15" s="14" t="s">
        <v>47</v>
      </c>
      <c r="AS15" s="9">
        <v>15.2</v>
      </c>
      <c r="AT15" s="9">
        <v>15</v>
      </c>
      <c r="AU15" s="9">
        <v>61</v>
      </c>
      <c r="AV15" s="9">
        <v>54.5</v>
      </c>
      <c r="AW15" s="9">
        <f t="shared" si="18"/>
        <v>0.19999999999999929</v>
      </c>
      <c r="AX15" s="10">
        <f t="shared" si="19"/>
        <v>6.5</v>
      </c>
    </row>
    <row r="16" spans="1:50" x14ac:dyDescent="0.25">
      <c r="B16" s="14" t="s">
        <v>48</v>
      </c>
      <c r="C16" s="9">
        <v>14</v>
      </c>
      <c r="D16" s="9">
        <v>13.1</v>
      </c>
      <c r="E16" s="9">
        <v>85</v>
      </c>
      <c r="F16" s="9">
        <v>63.6</v>
      </c>
      <c r="G16" s="9">
        <f t="shared" si="10"/>
        <v>0.90000000000000036</v>
      </c>
      <c r="H16" s="10">
        <f t="shared" si="11"/>
        <v>21.4</v>
      </c>
      <c r="L16" s="14" t="s">
        <v>48</v>
      </c>
      <c r="M16" s="9">
        <v>14</v>
      </c>
      <c r="N16" s="9">
        <v>13.9</v>
      </c>
      <c r="O16" s="9">
        <v>85</v>
      </c>
      <c r="P16" s="9">
        <v>54.4</v>
      </c>
      <c r="Q16" s="9">
        <f t="shared" si="12"/>
        <v>9.9999999999999645E-2</v>
      </c>
      <c r="R16" s="10">
        <f t="shared" si="13"/>
        <v>30.6</v>
      </c>
      <c r="V16" s="14" t="s">
        <v>48</v>
      </c>
      <c r="W16" s="9">
        <v>14</v>
      </c>
      <c r="X16" s="9">
        <v>13.5</v>
      </c>
      <c r="Y16" s="9">
        <v>85</v>
      </c>
      <c r="Z16" s="9">
        <v>83.8</v>
      </c>
      <c r="AA16" s="9">
        <f t="shared" si="14"/>
        <v>0.5</v>
      </c>
      <c r="AB16" s="10">
        <f t="shared" si="15"/>
        <v>1.2000000000000028</v>
      </c>
      <c r="AG16" s="14" t="s">
        <v>48</v>
      </c>
      <c r="AH16" s="9">
        <v>14</v>
      </c>
      <c r="AI16" s="9"/>
      <c r="AJ16" s="9">
        <v>85</v>
      </c>
      <c r="AK16" s="9">
        <v>198.8</v>
      </c>
      <c r="AL16" s="9">
        <f t="shared" si="16"/>
        <v>14</v>
      </c>
      <c r="AM16" s="10">
        <f t="shared" si="17"/>
        <v>113.80000000000001</v>
      </c>
      <c r="AR16" s="14" t="s">
        <v>48</v>
      </c>
      <c r="AS16" s="9">
        <v>14</v>
      </c>
      <c r="AT16" s="9">
        <v>14.1</v>
      </c>
      <c r="AU16" s="9">
        <v>85</v>
      </c>
      <c r="AV16" s="9">
        <v>55.2</v>
      </c>
      <c r="AW16" s="9">
        <f t="shared" si="18"/>
        <v>9.9999999999999645E-2</v>
      </c>
      <c r="AX16" s="10">
        <f t="shared" si="19"/>
        <v>29.799999999999997</v>
      </c>
    </row>
    <row r="17" spans="2:50" x14ac:dyDescent="0.25">
      <c r="B17" s="14" t="s">
        <v>49</v>
      </c>
      <c r="C17" s="9">
        <v>13.2</v>
      </c>
      <c r="D17" s="9">
        <v>13</v>
      </c>
      <c r="E17" s="9">
        <v>87</v>
      </c>
      <c r="F17" s="9">
        <v>51.9</v>
      </c>
      <c r="G17" s="9">
        <f t="shared" si="10"/>
        <v>0.19999999999999929</v>
      </c>
      <c r="H17" s="10">
        <f t="shared" si="11"/>
        <v>35.1</v>
      </c>
      <c r="L17" s="14" t="s">
        <v>49</v>
      </c>
      <c r="M17" s="9">
        <v>13.2</v>
      </c>
      <c r="N17" s="9">
        <v>13.4</v>
      </c>
      <c r="O17" s="9">
        <v>87</v>
      </c>
      <c r="P17" s="9">
        <v>50.8</v>
      </c>
      <c r="Q17" s="9">
        <f t="shared" si="12"/>
        <v>0.20000000000000107</v>
      </c>
      <c r="R17" s="10">
        <f t="shared" si="13"/>
        <v>36.200000000000003</v>
      </c>
      <c r="V17" s="14" t="s">
        <v>49</v>
      </c>
      <c r="W17" s="9">
        <v>13.2</v>
      </c>
      <c r="X17" s="9">
        <v>12.9</v>
      </c>
      <c r="Y17" s="9">
        <v>87</v>
      </c>
      <c r="Z17" s="9">
        <v>81.2</v>
      </c>
      <c r="AA17" s="9">
        <f t="shared" si="14"/>
        <v>0.29999999999999893</v>
      </c>
      <c r="AB17" s="10">
        <f t="shared" si="15"/>
        <v>5.7999999999999972</v>
      </c>
      <c r="AG17" s="14" t="s">
        <v>49</v>
      </c>
      <c r="AH17" s="9">
        <v>13.2</v>
      </c>
      <c r="AI17" s="9"/>
      <c r="AJ17" s="9">
        <v>87</v>
      </c>
      <c r="AK17" s="9">
        <v>86</v>
      </c>
      <c r="AL17" s="9">
        <f t="shared" si="16"/>
        <v>13.2</v>
      </c>
      <c r="AM17" s="10">
        <f t="shared" si="17"/>
        <v>1</v>
      </c>
      <c r="AR17" s="14" t="s">
        <v>49</v>
      </c>
      <c r="AS17" s="9">
        <v>13.2</v>
      </c>
      <c r="AT17" s="9">
        <v>13</v>
      </c>
      <c r="AU17" s="9">
        <v>87</v>
      </c>
      <c r="AV17" s="9">
        <v>61</v>
      </c>
      <c r="AW17" s="9">
        <f t="shared" si="18"/>
        <v>0.19999999999999929</v>
      </c>
      <c r="AX17" s="10">
        <f t="shared" si="19"/>
        <v>26</v>
      </c>
    </row>
    <row r="18" spans="2:50" x14ac:dyDescent="0.25">
      <c r="B18" s="14" t="s">
        <v>50</v>
      </c>
      <c r="C18" s="9">
        <v>14.4</v>
      </c>
      <c r="D18" s="9">
        <v>14.2</v>
      </c>
      <c r="E18" s="9">
        <v>83</v>
      </c>
      <c r="F18" s="9">
        <v>51.5</v>
      </c>
      <c r="G18" s="9">
        <f t="shared" si="10"/>
        <v>0.20000000000000107</v>
      </c>
      <c r="H18" s="10">
        <f t="shared" si="11"/>
        <v>31.5</v>
      </c>
      <c r="L18" s="14" t="s">
        <v>50</v>
      </c>
      <c r="M18" s="9">
        <v>14.4</v>
      </c>
      <c r="N18" s="9">
        <v>14.2</v>
      </c>
      <c r="O18" s="9">
        <v>83</v>
      </c>
      <c r="P18" s="9">
        <v>58.4</v>
      </c>
      <c r="Q18" s="9">
        <f t="shared" si="12"/>
        <v>0.20000000000000107</v>
      </c>
      <c r="R18" s="10">
        <f t="shared" si="13"/>
        <v>24.6</v>
      </c>
      <c r="V18" s="14" t="s">
        <v>50</v>
      </c>
      <c r="W18" s="9">
        <v>14.4</v>
      </c>
      <c r="X18" s="9">
        <v>14</v>
      </c>
      <c r="Y18" s="9">
        <v>83</v>
      </c>
      <c r="Z18" s="9">
        <v>84.1</v>
      </c>
      <c r="AA18" s="9">
        <f t="shared" si="14"/>
        <v>0.40000000000000036</v>
      </c>
      <c r="AB18" s="10">
        <f t="shared" si="15"/>
        <v>1.0999999999999943</v>
      </c>
      <c r="AG18" s="14" t="s">
        <v>50</v>
      </c>
      <c r="AH18" s="9">
        <v>14.4</v>
      </c>
      <c r="AI18" s="9"/>
      <c r="AJ18" s="9">
        <v>83</v>
      </c>
      <c r="AK18" s="9">
        <v>140.30000000000001</v>
      </c>
      <c r="AL18" s="9">
        <f t="shared" si="16"/>
        <v>14.4</v>
      </c>
      <c r="AM18" s="10">
        <f t="shared" si="17"/>
        <v>57.300000000000011</v>
      </c>
      <c r="AR18" s="14" t="s">
        <v>50</v>
      </c>
      <c r="AS18" s="9">
        <v>14.4</v>
      </c>
      <c r="AT18" s="9">
        <v>14.4</v>
      </c>
      <c r="AU18" s="9">
        <v>83</v>
      </c>
      <c r="AV18" s="9">
        <v>60.8</v>
      </c>
      <c r="AW18" s="9">
        <f t="shared" si="18"/>
        <v>0</v>
      </c>
      <c r="AX18" s="10">
        <f t="shared" si="19"/>
        <v>22.200000000000003</v>
      </c>
    </row>
    <row r="19" spans="2:50" x14ac:dyDescent="0.25">
      <c r="B19" s="14" t="s">
        <v>51</v>
      </c>
      <c r="C19" s="9">
        <v>14.4</v>
      </c>
      <c r="D19" s="9">
        <v>15</v>
      </c>
      <c r="E19" s="9">
        <v>73</v>
      </c>
      <c r="F19" s="9">
        <v>46.6</v>
      </c>
      <c r="G19" s="9">
        <f t="shared" si="10"/>
        <v>0.59999999999999964</v>
      </c>
      <c r="H19" s="10">
        <f t="shared" si="11"/>
        <v>26.4</v>
      </c>
      <c r="L19" s="14" t="s">
        <v>51</v>
      </c>
      <c r="M19" s="9">
        <v>14.4</v>
      </c>
      <c r="N19" s="9">
        <v>14.7</v>
      </c>
      <c r="O19" s="9">
        <v>73</v>
      </c>
      <c r="P19" s="9">
        <v>73</v>
      </c>
      <c r="Q19" s="9">
        <f t="shared" si="12"/>
        <v>0.29999999999999893</v>
      </c>
      <c r="R19" s="10">
        <f t="shared" si="13"/>
        <v>0</v>
      </c>
      <c r="V19" s="14" t="s">
        <v>51</v>
      </c>
      <c r="W19" s="9">
        <v>14.4</v>
      </c>
      <c r="X19" s="9">
        <v>15.2</v>
      </c>
      <c r="Y19" s="9">
        <v>73</v>
      </c>
      <c r="Z19" s="9">
        <v>81.7</v>
      </c>
      <c r="AA19" s="9">
        <f t="shared" si="14"/>
        <v>0.79999999999999893</v>
      </c>
      <c r="AB19" s="10">
        <f t="shared" si="15"/>
        <v>8.7000000000000028</v>
      </c>
      <c r="AG19" s="14" t="s">
        <v>51</v>
      </c>
      <c r="AH19" s="9">
        <v>14.4</v>
      </c>
      <c r="AI19" s="9"/>
      <c r="AJ19" s="9">
        <v>73</v>
      </c>
      <c r="AK19" s="9">
        <v>165</v>
      </c>
      <c r="AL19" s="9">
        <f t="shared" si="16"/>
        <v>14.4</v>
      </c>
      <c r="AM19" s="10">
        <f t="shared" si="17"/>
        <v>92</v>
      </c>
      <c r="AR19" s="14" t="s">
        <v>51</v>
      </c>
      <c r="AS19" s="9">
        <v>14.4</v>
      </c>
      <c r="AT19" s="9">
        <v>14.8</v>
      </c>
      <c r="AU19" s="9">
        <v>73</v>
      </c>
      <c r="AV19" s="9">
        <v>45.7</v>
      </c>
      <c r="AW19" s="9">
        <f t="shared" si="18"/>
        <v>0.40000000000000036</v>
      </c>
      <c r="AX19" s="10">
        <f t="shared" si="19"/>
        <v>27.299999999999997</v>
      </c>
    </row>
    <row r="20" spans="2:50" x14ac:dyDescent="0.25">
      <c r="B20" s="14" t="s">
        <v>52</v>
      </c>
      <c r="C20" s="9">
        <v>13.2</v>
      </c>
      <c r="D20" s="9">
        <v>13</v>
      </c>
      <c r="E20" s="9">
        <v>85</v>
      </c>
      <c r="F20" s="9">
        <v>66.3</v>
      </c>
      <c r="G20" s="9">
        <f t="shared" si="10"/>
        <v>0.19999999999999929</v>
      </c>
      <c r="H20" s="10">
        <f t="shared" si="11"/>
        <v>18.700000000000003</v>
      </c>
      <c r="L20" s="14" t="s">
        <v>52</v>
      </c>
      <c r="M20" s="9">
        <v>13.2</v>
      </c>
      <c r="N20" s="9">
        <v>13.6</v>
      </c>
      <c r="O20" s="9">
        <v>85</v>
      </c>
      <c r="P20" s="9">
        <v>53.2</v>
      </c>
      <c r="Q20" s="9">
        <f t="shared" si="12"/>
        <v>0.40000000000000036</v>
      </c>
      <c r="R20" s="10">
        <f t="shared" si="13"/>
        <v>31.799999999999997</v>
      </c>
      <c r="V20" s="14" t="s">
        <v>52</v>
      </c>
      <c r="W20" s="9">
        <v>13.2</v>
      </c>
      <c r="X20" s="9">
        <v>12.9</v>
      </c>
      <c r="Y20" s="9">
        <v>85</v>
      </c>
      <c r="Z20" s="9">
        <v>81.400000000000006</v>
      </c>
      <c r="AA20" s="9">
        <f t="shared" si="14"/>
        <v>0.29999999999999893</v>
      </c>
      <c r="AB20" s="10">
        <f t="shared" si="15"/>
        <v>3.5999999999999943</v>
      </c>
      <c r="AG20" s="14" t="s">
        <v>52</v>
      </c>
      <c r="AH20" s="9">
        <v>13.2</v>
      </c>
      <c r="AI20" s="9"/>
      <c r="AJ20" s="9">
        <v>85</v>
      </c>
      <c r="AK20" s="9">
        <v>165.5</v>
      </c>
      <c r="AL20" s="9">
        <f t="shared" si="16"/>
        <v>13.2</v>
      </c>
      <c r="AM20" s="10">
        <f t="shared" si="17"/>
        <v>80.5</v>
      </c>
      <c r="AR20" s="14" t="s">
        <v>52</v>
      </c>
      <c r="AS20" s="9">
        <v>13.2</v>
      </c>
      <c r="AT20" s="9">
        <v>13.4</v>
      </c>
      <c r="AU20" s="9">
        <v>85</v>
      </c>
      <c r="AV20" s="9">
        <v>74.5</v>
      </c>
      <c r="AW20" s="9">
        <f t="shared" si="18"/>
        <v>0.20000000000000107</v>
      </c>
      <c r="AX20" s="10">
        <f t="shared" si="19"/>
        <v>10.5</v>
      </c>
    </row>
    <row r="21" spans="2:50" x14ac:dyDescent="0.25">
      <c r="B21" s="14" t="s">
        <v>53</v>
      </c>
      <c r="C21" s="9">
        <v>14</v>
      </c>
      <c r="D21" s="9">
        <v>13.7</v>
      </c>
      <c r="E21" s="9">
        <v>85</v>
      </c>
      <c r="F21" s="9">
        <v>63.5</v>
      </c>
      <c r="G21" s="9">
        <f t="shared" si="10"/>
        <v>0.30000000000000071</v>
      </c>
      <c r="H21" s="10">
        <f t="shared" si="11"/>
        <v>21.5</v>
      </c>
      <c r="L21" s="14" t="s">
        <v>53</v>
      </c>
      <c r="M21" s="9">
        <v>14</v>
      </c>
      <c r="N21" s="9">
        <v>14.2</v>
      </c>
      <c r="O21" s="9">
        <v>85</v>
      </c>
      <c r="P21" s="9">
        <v>110</v>
      </c>
      <c r="Q21" s="9">
        <f t="shared" si="12"/>
        <v>0.19999999999999929</v>
      </c>
      <c r="R21" s="10">
        <f t="shared" si="13"/>
        <v>25</v>
      </c>
      <c r="V21" s="14" t="s">
        <v>53</v>
      </c>
      <c r="W21" s="9">
        <v>14</v>
      </c>
      <c r="X21" s="9">
        <v>14</v>
      </c>
      <c r="Y21" s="9">
        <v>85</v>
      </c>
      <c r="Z21" s="9">
        <v>87.6</v>
      </c>
      <c r="AA21" s="9">
        <f t="shared" si="14"/>
        <v>0</v>
      </c>
      <c r="AB21" s="10">
        <f t="shared" si="15"/>
        <v>2.5999999999999943</v>
      </c>
      <c r="AG21" s="14" t="s">
        <v>53</v>
      </c>
      <c r="AH21" s="9">
        <v>14</v>
      </c>
      <c r="AI21" s="9"/>
      <c r="AJ21" s="9">
        <v>85</v>
      </c>
      <c r="AK21" s="9">
        <v>133.5</v>
      </c>
      <c r="AL21" s="9">
        <f t="shared" si="16"/>
        <v>14</v>
      </c>
      <c r="AM21" s="10">
        <f t="shared" si="17"/>
        <v>48.5</v>
      </c>
      <c r="AR21" s="14" t="s">
        <v>53</v>
      </c>
      <c r="AS21" s="9">
        <v>14</v>
      </c>
      <c r="AT21" s="9">
        <v>14</v>
      </c>
      <c r="AU21" s="9">
        <v>85</v>
      </c>
      <c r="AV21" s="9">
        <v>50.8</v>
      </c>
      <c r="AW21" s="9">
        <f t="shared" si="18"/>
        <v>0</v>
      </c>
      <c r="AX21" s="10">
        <f t="shared" si="19"/>
        <v>34.200000000000003</v>
      </c>
    </row>
    <row r="22" spans="2:50" x14ac:dyDescent="0.25">
      <c r="B22" s="14" t="s">
        <v>54</v>
      </c>
      <c r="C22" s="9">
        <v>12.8</v>
      </c>
      <c r="D22" s="9">
        <v>12.7</v>
      </c>
      <c r="E22" s="9">
        <v>82</v>
      </c>
      <c r="F22" s="9">
        <v>67.3</v>
      </c>
      <c r="G22" s="9">
        <f t="shared" si="10"/>
        <v>0.10000000000000142</v>
      </c>
      <c r="H22" s="10">
        <f t="shared" si="11"/>
        <v>14.700000000000003</v>
      </c>
      <c r="L22" s="14" t="s">
        <v>54</v>
      </c>
      <c r="M22" s="9">
        <v>12.8</v>
      </c>
      <c r="N22" s="9">
        <v>13.1</v>
      </c>
      <c r="O22" s="9">
        <v>82</v>
      </c>
      <c r="P22" s="9">
        <v>50.4</v>
      </c>
      <c r="Q22" s="9">
        <f t="shared" si="12"/>
        <v>0.29999999999999893</v>
      </c>
      <c r="R22" s="10">
        <f t="shared" si="13"/>
        <v>31.6</v>
      </c>
      <c r="V22" s="14" t="s">
        <v>54</v>
      </c>
      <c r="W22" s="9">
        <v>12.8</v>
      </c>
      <c r="X22" s="9">
        <v>12.9</v>
      </c>
      <c r="Y22" s="9">
        <v>82</v>
      </c>
      <c r="Z22" s="9">
        <v>85.5</v>
      </c>
      <c r="AA22" s="9">
        <f t="shared" si="14"/>
        <v>9.9999999999999645E-2</v>
      </c>
      <c r="AB22" s="10">
        <f t="shared" si="15"/>
        <v>3.5</v>
      </c>
      <c r="AG22" s="14" t="s">
        <v>54</v>
      </c>
      <c r="AH22" s="9">
        <v>12.8</v>
      </c>
      <c r="AI22" s="9"/>
      <c r="AJ22" s="9">
        <v>82</v>
      </c>
      <c r="AK22" s="9">
        <v>160.5</v>
      </c>
      <c r="AL22" s="9">
        <f t="shared" si="16"/>
        <v>12.8</v>
      </c>
      <c r="AM22" s="10">
        <f t="shared" si="17"/>
        <v>78.5</v>
      </c>
      <c r="AR22" s="14" t="s">
        <v>54</v>
      </c>
      <c r="AS22" s="9">
        <v>12.8</v>
      </c>
      <c r="AT22" s="9">
        <v>12.6</v>
      </c>
      <c r="AU22" s="9">
        <v>82</v>
      </c>
      <c r="AV22" s="9">
        <v>76.2</v>
      </c>
      <c r="AW22" s="9">
        <f t="shared" si="18"/>
        <v>0.20000000000000107</v>
      </c>
      <c r="AX22" s="10">
        <f t="shared" si="19"/>
        <v>5.7999999999999972</v>
      </c>
    </row>
    <row r="23" spans="2:50" x14ac:dyDescent="0.25">
      <c r="B23" s="14" t="s">
        <v>55</v>
      </c>
      <c r="C23" s="9">
        <v>13.6</v>
      </c>
      <c r="D23" s="9">
        <v>13.5</v>
      </c>
      <c r="E23" s="9">
        <v>87</v>
      </c>
      <c r="F23" s="9">
        <v>56.5</v>
      </c>
      <c r="G23" s="9">
        <f t="shared" si="10"/>
        <v>9.9999999999999645E-2</v>
      </c>
      <c r="H23" s="10">
        <f t="shared" si="11"/>
        <v>30.5</v>
      </c>
      <c r="L23" s="14" t="s">
        <v>55</v>
      </c>
      <c r="M23" s="9">
        <v>13.6</v>
      </c>
      <c r="N23" s="9">
        <v>13.9</v>
      </c>
      <c r="O23" s="9">
        <v>87</v>
      </c>
      <c r="P23" s="9">
        <v>50</v>
      </c>
      <c r="Q23" s="9">
        <f t="shared" si="12"/>
        <v>0.30000000000000071</v>
      </c>
      <c r="R23" s="10">
        <f t="shared" si="13"/>
        <v>37</v>
      </c>
      <c r="V23" s="14" t="s">
        <v>55</v>
      </c>
      <c r="W23" s="9">
        <v>13.6</v>
      </c>
      <c r="X23" s="9">
        <v>12.9</v>
      </c>
      <c r="Y23" s="9">
        <v>87</v>
      </c>
      <c r="Z23" s="9">
        <v>80.900000000000006</v>
      </c>
      <c r="AA23" s="9">
        <f t="shared" si="14"/>
        <v>0.69999999999999929</v>
      </c>
      <c r="AB23" s="10">
        <f t="shared" si="15"/>
        <v>6.0999999999999943</v>
      </c>
      <c r="AG23" s="14" t="s">
        <v>55</v>
      </c>
      <c r="AH23" s="9">
        <v>13.6</v>
      </c>
      <c r="AI23" s="9"/>
      <c r="AJ23" s="9">
        <v>87</v>
      </c>
      <c r="AK23" s="9">
        <v>83.3</v>
      </c>
      <c r="AL23" s="9">
        <f t="shared" si="16"/>
        <v>13.6</v>
      </c>
      <c r="AM23" s="10">
        <f t="shared" si="17"/>
        <v>3.7000000000000028</v>
      </c>
      <c r="AR23" s="14" t="s">
        <v>55</v>
      </c>
      <c r="AS23" s="9">
        <v>13.6</v>
      </c>
      <c r="AT23" s="9">
        <v>13.3</v>
      </c>
      <c r="AU23" s="9">
        <v>87</v>
      </c>
      <c r="AV23" s="9">
        <v>49.5</v>
      </c>
      <c r="AW23" s="9">
        <f t="shared" si="18"/>
        <v>0.29999999999999893</v>
      </c>
      <c r="AX23" s="10">
        <f t="shared" si="19"/>
        <v>37.5</v>
      </c>
    </row>
    <row r="24" spans="2:50" x14ac:dyDescent="0.25">
      <c r="B24" s="12" t="s">
        <v>4</v>
      </c>
      <c r="C24">
        <v>12</v>
      </c>
      <c r="D24">
        <v>11</v>
      </c>
      <c r="E24">
        <v>67</v>
      </c>
      <c r="F24">
        <v>69</v>
      </c>
      <c r="G24">
        <f>ABS(C24-D24)</f>
        <v>1</v>
      </c>
      <c r="H24" s="13">
        <f>ABS(E24-F24)</f>
        <v>2</v>
      </c>
      <c r="L24" s="12" t="s">
        <v>4</v>
      </c>
      <c r="M24">
        <v>12</v>
      </c>
      <c r="N24">
        <v>11.7</v>
      </c>
      <c r="O24">
        <v>67</v>
      </c>
      <c r="P24">
        <v>50</v>
      </c>
      <c r="Q24">
        <f>ABS(M24-N24)</f>
        <v>0.30000000000000071</v>
      </c>
      <c r="R24" s="13">
        <f>ABS(O24-P24)</f>
        <v>17</v>
      </c>
      <c r="V24" s="12" t="s">
        <v>4</v>
      </c>
      <c r="W24">
        <v>12</v>
      </c>
      <c r="X24">
        <v>11.7</v>
      </c>
      <c r="Y24">
        <v>67</v>
      </c>
      <c r="Z24">
        <v>109.9</v>
      </c>
      <c r="AA24">
        <f>ABS(W24-X24)</f>
        <v>0.30000000000000071</v>
      </c>
      <c r="AB24" s="13">
        <f>ABS(Y24-Z24)</f>
        <v>42.900000000000006</v>
      </c>
      <c r="AG24" s="12" t="s">
        <v>4</v>
      </c>
      <c r="AH24">
        <v>12</v>
      </c>
      <c r="AJ24">
        <v>67</v>
      </c>
      <c r="AK24">
        <v>69.7</v>
      </c>
      <c r="AL24">
        <f>ABS(AH24-AI24)</f>
        <v>12</v>
      </c>
      <c r="AM24" s="13">
        <f>ABS(AJ24-AK24)</f>
        <v>2.7000000000000028</v>
      </c>
      <c r="AQ24" s="2"/>
      <c r="AR24" s="12" t="s">
        <v>4</v>
      </c>
      <c r="AS24">
        <v>12</v>
      </c>
      <c r="AT24">
        <v>11.5</v>
      </c>
      <c r="AU24">
        <v>67</v>
      </c>
      <c r="AV24">
        <v>70</v>
      </c>
      <c r="AW24">
        <f>ABS(AS24-AT24)</f>
        <v>0.5</v>
      </c>
      <c r="AX24" s="13">
        <f>ABS(AU24-AV24)</f>
        <v>3</v>
      </c>
    </row>
    <row r="25" spans="2:50" x14ac:dyDescent="0.25">
      <c r="B25" s="6"/>
      <c r="C25" s="7">
        <v>16.5</v>
      </c>
      <c r="D25" s="7">
        <v>16.5</v>
      </c>
      <c r="E25" s="7">
        <v>105</v>
      </c>
      <c r="F25" s="7">
        <v>116.8</v>
      </c>
      <c r="G25" s="7">
        <f>ABS(C25-D25)</f>
        <v>0</v>
      </c>
      <c r="H25" s="8">
        <f>ABS(E25-F25)</f>
        <v>11.799999999999997</v>
      </c>
      <c r="L25" s="6"/>
      <c r="M25" s="7">
        <v>16.5</v>
      </c>
      <c r="N25" s="7">
        <v>16.7</v>
      </c>
      <c r="O25" s="7">
        <v>105</v>
      </c>
      <c r="P25" s="7">
        <v>61</v>
      </c>
      <c r="Q25" s="7">
        <f>ABS(M25-N25)</f>
        <v>0.19999999999999929</v>
      </c>
      <c r="R25" s="8">
        <f>ABS(O25-P25)</f>
        <v>44</v>
      </c>
      <c r="V25" s="6"/>
      <c r="W25" s="7">
        <v>16.5</v>
      </c>
      <c r="X25" s="7">
        <v>16.100000000000001</v>
      </c>
      <c r="Y25" s="7">
        <v>105</v>
      </c>
      <c r="Z25" s="7">
        <v>104</v>
      </c>
      <c r="AA25" s="7">
        <f>ABS(W25-X25)</f>
        <v>0.39999999999999858</v>
      </c>
      <c r="AB25" s="8">
        <f>ABS(Y25-Z25)</f>
        <v>1</v>
      </c>
      <c r="AG25" s="6"/>
      <c r="AH25" s="7">
        <v>16.5</v>
      </c>
      <c r="AI25" s="7"/>
      <c r="AJ25" s="7">
        <v>105</v>
      </c>
      <c r="AK25" s="7">
        <v>90</v>
      </c>
      <c r="AL25" s="7">
        <f>ABS(AH25-AI25)</f>
        <v>16.5</v>
      </c>
      <c r="AM25" s="8">
        <f>ABS(AJ25-AK25)</f>
        <v>15</v>
      </c>
      <c r="AR25" s="6"/>
      <c r="AS25" s="7">
        <v>16.5</v>
      </c>
      <c r="AT25" s="7">
        <v>16.3</v>
      </c>
      <c r="AU25" s="7">
        <v>105</v>
      </c>
      <c r="AV25" s="7">
        <v>93</v>
      </c>
      <c r="AW25" s="7">
        <f>ABS(AS25-AT25)</f>
        <v>0.19999999999999929</v>
      </c>
      <c r="AX25" s="8">
        <f>ABS(AU25-AV25)</f>
        <v>12</v>
      </c>
    </row>
    <row r="26" spans="2:50" x14ac:dyDescent="0.25">
      <c r="B26" s="3" t="s">
        <v>25</v>
      </c>
      <c r="C26" s="4">
        <v>14</v>
      </c>
      <c r="D26" s="4">
        <v>14</v>
      </c>
      <c r="E26" s="4">
        <v>75</v>
      </c>
      <c r="F26" s="4">
        <v>80</v>
      </c>
      <c r="G26" s="4">
        <f>ABS(C26-D26)</f>
        <v>0</v>
      </c>
      <c r="H26" s="5">
        <f t="shared" ref="H26:H43" si="20">ABS(E26-F26)</f>
        <v>5</v>
      </c>
      <c r="L26" s="3" t="s">
        <v>25</v>
      </c>
      <c r="M26" s="4">
        <v>14</v>
      </c>
      <c r="N26" s="4">
        <v>13.2</v>
      </c>
      <c r="O26" s="4">
        <v>75</v>
      </c>
      <c r="P26" s="4">
        <v>50.5</v>
      </c>
      <c r="Q26" s="4">
        <f>ABS(M26-N26)</f>
        <v>0.80000000000000071</v>
      </c>
      <c r="R26" s="5">
        <f t="shared" ref="R26:R43" si="21">ABS(O26-P26)</f>
        <v>24.5</v>
      </c>
      <c r="V26" s="3" t="s">
        <v>25</v>
      </c>
      <c r="W26" s="4">
        <v>14</v>
      </c>
      <c r="X26" s="4">
        <v>11.7</v>
      </c>
      <c r="Y26" s="4">
        <v>75</v>
      </c>
      <c r="Z26" s="4">
        <v>107.3</v>
      </c>
      <c r="AA26" s="4">
        <f>ABS(W26-X26)</f>
        <v>2.3000000000000007</v>
      </c>
      <c r="AB26" s="5">
        <f t="shared" ref="AB26:AB43" si="22">ABS(Y26-Z26)</f>
        <v>32.299999999999997</v>
      </c>
      <c r="AG26" s="3" t="s">
        <v>25</v>
      </c>
      <c r="AH26" s="4">
        <v>14</v>
      </c>
      <c r="AI26" s="4"/>
      <c r="AJ26" s="4">
        <v>75</v>
      </c>
      <c r="AK26" s="4">
        <v>70.3</v>
      </c>
      <c r="AL26" s="4">
        <f>ABS(AH26-AI26)</f>
        <v>14</v>
      </c>
      <c r="AM26" s="5">
        <f t="shared" ref="AM26:AM43" si="23">ABS(AJ26-AK26)</f>
        <v>4.7000000000000028</v>
      </c>
      <c r="AR26" s="3" t="s">
        <v>25</v>
      </c>
      <c r="AS26" s="4">
        <v>14</v>
      </c>
      <c r="AT26" s="4">
        <v>14.5</v>
      </c>
      <c r="AU26" s="4">
        <v>75</v>
      </c>
      <c r="AV26" s="4">
        <v>67.3</v>
      </c>
      <c r="AW26" s="4">
        <f>ABS(AS26-AT26)</f>
        <v>0.5</v>
      </c>
      <c r="AX26" s="5">
        <f t="shared" ref="AX26:AX43" si="24">ABS(AU26-AV26)</f>
        <v>7.7000000000000028</v>
      </c>
    </row>
    <row r="27" spans="2:50" x14ac:dyDescent="0.25">
      <c r="B27" s="6"/>
      <c r="C27" s="7">
        <v>20.5</v>
      </c>
      <c r="D27" s="7">
        <v>20.5</v>
      </c>
      <c r="E27" s="7">
        <v>105</v>
      </c>
      <c r="F27" s="7">
        <v>114</v>
      </c>
      <c r="G27">
        <f>ABS(C27-D27)</f>
        <v>0</v>
      </c>
      <c r="H27" s="13">
        <f t="shared" si="20"/>
        <v>9</v>
      </c>
      <c r="L27" s="6"/>
      <c r="M27" s="7">
        <v>20.5</v>
      </c>
      <c r="N27" s="7">
        <v>21</v>
      </c>
      <c r="O27" s="7">
        <v>105</v>
      </c>
      <c r="P27" s="7">
        <v>48.5</v>
      </c>
      <c r="Q27" s="7">
        <f>ABS(M27-N27)</f>
        <v>0.5</v>
      </c>
      <c r="R27" s="8">
        <f t="shared" si="21"/>
        <v>56.5</v>
      </c>
      <c r="V27" s="6"/>
      <c r="W27" s="7">
        <v>20.5</v>
      </c>
      <c r="X27" s="7">
        <v>20.5</v>
      </c>
      <c r="Y27" s="7">
        <v>105</v>
      </c>
      <c r="Z27" s="7">
        <v>104.3</v>
      </c>
      <c r="AA27" s="7">
        <f>ABS(W27-X27)</f>
        <v>0</v>
      </c>
      <c r="AB27" s="8">
        <f t="shared" si="22"/>
        <v>0.70000000000000284</v>
      </c>
      <c r="AG27" s="6"/>
      <c r="AH27" s="7">
        <v>20.5</v>
      </c>
      <c r="AI27" s="7"/>
      <c r="AJ27" s="7">
        <v>105</v>
      </c>
      <c r="AK27" s="7">
        <v>157</v>
      </c>
      <c r="AL27" s="7">
        <f>ABS(AH27-AI27)</f>
        <v>20.5</v>
      </c>
      <c r="AM27" s="8">
        <f t="shared" si="23"/>
        <v>52</v>
      </c>
      <c r="AR27" s="6"/>
      <c r="AS27" s="7">
        <v>20.5</v>
      </c>
      <c r="AT27" s="7">
        <v>20.3</v>
      </c>
      <c r="AU27" s="7">
        <v>105</v>
      </c>
      <c r="AV27" s="7">
        <v>113</v>
      </c>
      <c r="AW27" s="7">
        <f>ABS(AS27-AT27)</f>
        <v>0.19999999999999929</v>
      </c>
      <c r="AX27" s="8">
        <f t="shared" si="24"/>
        <v>8</v>
      </c>
    </row>
    <row r="28" spans="2:50" x14ac:dyDescent="0.25">
      <c r="B28" s="3" t="s">
        <v>42</v>
      </c>
      <c r="C28" s="4">
        <v>8.4</v>
      </c>
      <c r="D28" s="4">
        <v>7.7</v>
      </c>
      <c r="E28" s="4">
        <v>65</v>
      </c>
      <c r="F28" s="4">
        <v>77.2</v>
      </c>
      <c r="G28" s="4">
        <f t="shared" ref="G28:G43" si="25">ABS(C28-D28)</f>
        <v>0.70000000000000018</v>
      </c>
      <c r="H28" s="5">
        <f t="shared" si="20"/>
        <v>12.200000000000003</v>
      </c>
      <c r="L28" s="3" t="s">
        <v>42</v>
      </c>
      <c r="M28" s="4">
        <v>8.4</v>
      </c>
      <c r="N28" s="4">
        <v>9.1</v>
      </c>
      <c r="O28" s="4">
        <v>65</v>
      </c>
      <c r="P28" s="4">
        <v>67.599999999999994</v>
      </c>
      <c r="Q28" s="4">
        <f t="shared" ref="Q28:Q43" si="26">ABS(M28-N28)</f>
        <v>0.69999999999999929</v>
      </c>
      <c r="R28" s="5">
        <f t="shared" si="21"/>
        <v>2.5999999999999943</v>
      </c>
      <c r="V28" s="3" t="s">
        <v>42</v>
      </c>
      <c r="W28" s="4">
        <v>8.4</v>
      </c>
      <c r="X28" s="4">
        <v>8.1999999999999993</v>
      </c>
      <c r="Y28" s="4">
        <v>65</v>
      </c>
      <c r="Z28" s="4">
        <v>82.3</v>
      </c>
      <c r="AA28" s="4">
        <f t="shared" ref="AA28:AA43" si="27">ABS(W28-X28)</f>
        <v>0.20000000000000107</v>
      </c>
      <c r="AB28" s="5">
        <f t="shared" si="22"/>
        <v>17.299999999999997</v>
      </c>
      <c r="AG28" s="3" t="s">
        <v>42</v>
      </c>
      <c r="AH28" s="4">
        <v>8.4</v>
      </c>
      <c r="AI28" s="4"/>
      <c r="AJ28" s="4">
        <v>65</v>
      </c>
      <c r="AK28" s="4">
        <v>250</v>
      </c>
      <c r="AL28" s="4">
        <f t="shared" ref="AL28:AL43" si="28">ABS(AH28-AI28)</f>
        <v>8.4</v>
      </c>
      <c r="AM28" s="5">
        <f t="shared" si="23"/>
        <v>185</v>
      </c>
      <c r="AR28" s="3" t="s">
        <v>42</v>
      </c>
      <c r="AS28" s="4">
        <v>8.4</v>
      </c>
      <c r="AT28" s="4">
        <v>7.8</v>
      </c>
      <c r="AU28" s="4">
        <v>65</v>
      </c>
      <c r="AV28" s="4">
        <v>70.5</v>
      </c>
      <c r="AW28" s="4">
        <f t="shared" ref="AW28:AW43" si="29">ABS(AS28-AT28)</f>
        <v>0.60000000000000053</v>
      </c>
      <c r="AX28" s="5">
        <f t="shared" si="24"/>
        <v>5.5</v>
      </c>
    </row>
    <row r="29" spans="2:50" x14ac:dyDescent="0.25">
      <c r="B29" s="6"/>
      <c r="C29" s="7">
        <v>8</v>
      </c>
      <c r="D29" s="7">
        <v>8</v>
      </c>
      <c r="E29" s="7">
        <v>94</v>
      </c>
      <c r="F29" s="7">
        <v>81.7</v>
      </c>
      <c r="G29" s="7">
        <f t="shared" si="25"/>
        <v>0</v>
      </c>
      <c r="H29" s="8">
        <f t="shared" si="20"/>
        <v>12.299999999999997</v>
      </c>
      <c r="L29" s="6"/>
      <c r="M29" s="7">
        <v>8</v>
      </c>
      <c r="N29" s="7">
        <v>9</v>
      </c>
      <c r="O29" s="7">
        <v>94</v>
      </c>
      <c r="P29" s="7">
        <v>101.2</v>
      </c>
      <c r="Q29" s="7">
        <f t="shared" si="26"/>
        <v>1</v>
      </c>
      <c r="R29" s="8">
        <f t="shared" si="21"/>
        <v>7.2000000000000028</v>
      </c>
      <c r="V29" s="6"/>
      <c r="W29" s="7">
        <v>8</v>
      </c>
      <c r="X29" s="7">
        <v>7</v>
      </c>
      <c r="Y29" s="7">
        <v>94</v>
      </c>
      <c r="Z29" s="7">
        <v>97.9</v>
      </c>
      <c r="AA29" s="7">
        <f t="shared" si="27"/>
        <v>1</v>
      </c>
      <c r="AB29" s="8">
        <f t="shared" si="22"/>
        <v>3.9000000000000057</v>
      </c>
      <c r="AG29" s="6"/>
      <c r="AH29" s="7">
        <v>8</v>
      </c>
      <c r="AI29" s="7"/>
      <c r="AJ29" s="7">
        <v>94</v>
      </c>
      <c r="AK29" s="7">
        <v>117.3</v>
      </c>
      <c r="AL29" s="7">
        <f t="shared" si="28"/>
        <v>8</v>
      </c>
      <c r="AM29" s="8">
        <f t="shared" si="23"/>
        <v>23.299999999999997</v>
      </c>
      <c r="AR29" s="6"/>
      <c r="AS29" s="7">
        <v>8</v>
      </c>
      <c r="AT29" s="7">
        <v>8</v>
      </c>
      <c r="AU29" s="7">
        <v>94</v>
      </c>
      <c r="AV29" s="7">
        <v>75.2</v>
      </c>
      <c r="AW29" s="7">
        <f t="shared" si="29"/>
        <v>0</v>
      </c>
      <c r="AX29" s="8">
        <f t="shared" si="24"/>
        <v>18.799999999999997</v>
      </c>
    </row>
    <row r="30" spans="2:50" x14ac:dyDescent="0.25">
      <c r="B30" s="3" t="s">
        <v>43</v>
      </c>
      <c r="C30" s="4">
        <v>8</v>
      </c>
      <c r="D30" s="4">
        <v>7.2</v>
      </c>
      <c r="E30" s="4">
        <v>64</v>
      </c>
      <c r="F30" s="4">
        <v>69.3</v>
      </c>
      <c r="G30" s="4">
        <f t="shared" si="25"/>
        <v>0.79999999999999982</v>
      </c>
      <c r="H30" s="5">
        <f t="shared" si="20"/>
        <v>5.2999999999999972</v>
      </c>
      <c r="L30" s="3" t="s">
        <v>43</v>
      </c>
      <c r="M30" s="4">
        <v>8</v>
      </c>
      <c r="N30" s="4">
        <v>7</v>
      </c>
      <c r="O30" s="4">
        <v>64</v>
      </c>
      <c r="P30" s="4">
        <v>63.2</v>
      </c>
      <c r="Q30" s="4">
        <f t="shared" si="26"/>
        <v>1</v>
      </c>
      <c r="R30" s="5">
        <f t="shared" si="21"/>
        <v>0.79999999999999716</v>
      </c>
      <c r="V30" s="3" t="s">
        <v>43</v>
      </c>
      <c r="W30" s="4">
        <v>8</v>
      </c>
      <c r="X30" s="4">
        <v>7</v>
      </c>
      <c r="Y30" s="4">
        <v>64</v>
      </c>
      <c r="Z30" s="4">
        <v>85.5</v>
      </c>
      <c r="AA30" s="4">
        <f t="shared" si="27"/>
        <v>1</v>
      </c>
      <c r="AB30" s="5">
        <f t="shared" si="22"/>
        <v>21.5</v>
      </c>
      <c r="AG30" s="3" t="s">
        <v>43</v>
      </c>
      <c r="AH30" s="4">
        <v>8</v>
      </c>
      <c r="AI30" s="4"/>
      <c r="AJ30" s="4">
        <v>64</v>
      </c>
      <c r="AK30" s="4">
        <v>78</v>
      </c>
      <c r="AL30" s="4">
        <f t="shared" si="28"/>
        <v>8</v>
      </c>
      <c r="AM30" s="5">
        <f t="shared" si="23"/>
        <v>14</v>
      </c>
      <c r="AR30" s="3" t="s">
        <v>43</v>
      </c>
      <c r="AS30" s="4">
        <v>8</v>
      </c>
      <c r="AT30" s="4">
        <v>7.2</v>
      </c>
      <c r="AU30" s="4">
        <v>64</v>
      </c>
      <c r="AV30" s="4">
        <v>65.3</v>
      </c>
      <c r="AW30" s="4">
        <f t="shared" si="29"/>
        <v>0.79999999999999982</v>
      </c>
      <c r="AX30" s="5">
        <f t="shared" si="24"/>
        <v>1.2999999999999972</v>
      </c>
    </row>
    <row r="31" spans="2:50" x14ac:dyDescent="0.25">
      <c r="B31" s="6"/>
      <c r="C31" s="7">
        <v>8</v>
      </c>
      <c r="D31">
        <v>7.5</v>
      </c>
      <c r="E31" s="7">
        <v>87</v>
      </c>
      <c r="F31" s="7">
        <v>76.599999999999994</v>
      </c>
      <c r="G31" s="7">
        <f t="shared" si="25"/>
        <v>0.5</v>
      </c>
      <c r="H31" s="8">
        <f t="shared" si="20"/>
        <v>10.400000000000006</v>
      </c>
      <c r="L31" s="6"/>
      <c r="M31" s="7">
        <v>8</v>
      </c>
      <c r="N31" s="7">
        <v>9.5</v>
      </c>
      <c r="O31" s="7">
        <v>87</v>
      </c>
      <c r="P31" s="7">
        <v>94.8</v>
      </c>
      <c r="Q31" s="7">
        <f t="shared" si="26"/>
        <v>1.5</v>
      </c>
      <c r="R31" s="8">
        <f t="shared" si="21"/>
        <v>7.7999999999999972</v>
      </c>
      <c r="V31" s="6"/>
      <c r="W31" s="7">
        <v>8</v>
      </c>
      <c r="X31" s="7">
        <v>7.9</v>
      </c>
      <c r="Y31" s="7">
        <v>87</v>
      </c>
      <c r="Z31" s="7">
        <v>82.6</v>
      </c>
      <c r="AA31" s="7">
        <f t="shared" si="27"/>
        <v>9.9999999999999645E-2</v>
      </c>
      <c r="AB31" s="8">
        <f t="shared" si="22"/>
        <v>4.4000000000000057</v>
      </c>
      <c r="AG31" s="6"/>
      <c r="AH31" s="7">
        <v>8</v>
      </c>
      <c r="AI31" s="7"/>
      <c r="AJ31" s="7">
        <v>87</v>
      </c>
      <c r="AK31" s="7">
        <v>117</v>
      </c>
      <c r="AL31" s="7">
        <f t="shared" si="28"/>
        <v>8</v>
      </c>
      <c r="AM31" s="8">
        <f t="shared" si="23"/>
        <v>30</v>
      </c>
      <c r="AR31" s="6"/>
      <c r="AS31" s="7">
        <v>8</v>
      </c>
      <c r="AT31" s="7">
        <v>9</v>
      </c>
      <c r="AU31" s="7">
        <v>87</v>
      </c>
      <c r="AV31" s="7">
        <v>84.9</v>
      </c>
      <c r="AW31" s="7">
        <f t="shared" si="29"/>
        <v>1</v>
      </c>
      <c r="AX31" s="8">
        <f t="shared" si="24"/>
        <v>2.0999999999999943</v>
      </c>
    </row>
    <row r="32" spans="2:50" x14ac:dyDescent="0.25">
      <c r="B32" s="3" t="s">
        <v>44</v>
      </c>
      <c r="C32" s="4">
        <v>7.6</v>
      </c>
      <c r="D32" s="4">
        <v>6.5</v>
      </c>
      <c r="E32" s="4">
        <v>65</v>
      </c>
      <c r="F32" s="4">
        <v>78.2</v>
      </c>
      <c r="G32" s="4">
        <f t="shared" si="25"/>
        <v>1.0999999999999996</v>
      </c>
      <c r="H32" s="5">
        <f t="shared" si="20"/>
        <v>13.200000000000003</v>
      </c>
      <c r="L32" s="3" t="s">
        <v>44</v>
      </c>
      <c r="M32" s="4">
        <v>7.6</v>
      </c>
      <c r="N32" s="4">
        <v>6.9</v>
      </c>
      <c r="O32" s="4">
        <v>65</v>
      </c>
      <c r="P32" s="4">
        <v>110</v>
      </c>
      <c r="Q32" s="4">
        <f t="shared" si="26"/>
        <v>0.69999999999999929</v>
      </c>
      <c r="R32" s="5">
        <f t="shared" si="21"/>
        <v>45</v>
      </c>
      <c r="V32" s="3" t="s">
        <v>44</v>
      </c>
      <c r="W32" s="4">
        <v>7.6</v>
      </c>
      <c r="X32" s="4">
        <v>7</v>
      </c>
      <c r="Y32" s="4">
        <v>65</v>
      </c>
      <c r="Z32" s="4">
        <v>90.8</v>
      </c>
      <c r="AA32" s="4">
        <f t="shared" si="27"/>
        <v>0.59999999999999964</v>
      </c>
      <c r="AB32" s="5">
        <f t="shared" si="22"/>
        <v>25.799999999999997</v>
      </c>
      <c r="AG32" s="3" t="s">
        <v>44</v>
      </c>
      <c r="AH32" s="4">
        <v>7.6</v>
      </c>
      <c r="AI32" s="4"/>
      <c r="AJ32" s="4">
        <v>65</v>
      </c>
      <c r="AK32" s="4">
        <v>169.3</v>
      </c>
      <c r="AL32" s="4">
        <f t="shared" si="28"/>
        <v>7.6</v>
      </c>
      <c r="AM32" s="5">
        <f t="shared" si="23"/>
        <v>104.30000000000001</v>
      </c>
      <c r="AR32" s="3" t="s">
        <v>44</v>
      </c>
      <c r="AS32" s="4">
        <v>7.6</v>
      </c>
      <c r="AT32" s="4">
        <v>6.4</v>
      </c>
      <c r="AU32" s="4">
        <v>65</v>
      </c>
      <c r="AV32" s="4">
        <v>91.1</v>
      </c>
      <c r="AW32" s="4">
        <f t="shared" si="29"/>
        <v>1.1999999999999993</v>
      </c>
      <c r="AX32" s="5">
        <f t="shared" si="24"/>
        <v>26.099999999999994</v>
      </c>
    </row>
    <row r="33" spans="2:50" x14ac:dyDescent="0.25">
      <c r="B33" s="6"/>
      <c r="C33" s="7">
        <v>10</v>
      </c>
      <c r="D33" s="7">
        <v>10.7</v>
      </c>
      <c r="E33" s="7">
        <v>89</v>
      </c>
      <c r="F33" s="7">
        <v>77.3</v>
      </c>
      <c r="G33" s="7">
        <f t="shared" si="25"/>
        <v>0.69999999999999929</v>
      </c>
      <c r="H33" s="8">
        <f t="shared" si="20"/>
        <v>11.700000000000003</v>
      </c>
      <c r="L33" s="6"/>
      <c r="M33" s="7">
        <v>10</v>
      </c>
      <c r="N33" s="7">
        <v>10</v>
      </c>
      <c r="O33" s="7">
        <v>89</v>
      </c>
      <c r="P33" s="7">
        <v>65.2</v>
      </c>
      <c r="Q33" s="7">
        <f>ABS(M33-N33)</f>
        <v>0</v>
      </c>
      <c r="R33" s="8">
        <f t="shared" si="21"/>
        <v>23.799999999999997</v>
      </c>
      <c r="V33" s="6"/>
      <c r="W33" s="7">
        <v>10</v>
      </c>
      <c r="X33" s="7">
        <v>10.5</v>
      </c>
      <c r="Y33" s="7">
        <v>89</v>
      </c>
      <c r="Z33" s="7">
        <v>88.2</v>
      </c>
      <c r="AA33" s="7">
        <f t="shared" si="27"/>
        <v>0.5</v>
      </c>
      <c r="AB33" s="8">
        <f t="shared" si="22"/>
        <v>0.79999999999999716</v>
      </c>
      <c r="AG33" s="6"/>
      <c r="AH33" s="7">
        <v>10</v>
      </c>
      <c r="AI33" s="7"/>
      <c r="AJ33" s="7">
        <v>89</v>
      </c>
      <c r="AK33" s="7">
        <v>126.5</v>
      </c>
      <c r="AL33" s="7">
        <f t="shared" si="28"/>
        <v>10</v>
      </c>
      <c r="AM33" s="8">
        <f t="shared" si="23"/>
        <v>37.5</v>
      </c>
      <c r="AR33" s="6"/>
      <c r="AS33" s="7">
        <v>10</v>
      </c>
      <c r="AT33" s="7">
        <v>10.8</v>
      </c>
      <c r="AU33" s="7">
        <v>89</v>
      </c>
      <c r="AV33" s="7">
        <v>76.2</v>
      </c>
      <c r="AW33" s="7">
        <f t="shared" si="29"/>
        <v>0.80000000000000071</v>
      </c>
      <c r="AX33" s="8">
        <f t="shared" si="24"/>
        <v>12.799999999999997</v>
      </c>
    </row>
    <row r="34" spans="2:50" x14ac:dyDescent="0.25">
      <c r="B34" s="3" t="s">
        <v>45</v>
      </c>
      <c r="C34" s="4">
        <v>7.6</v>
      </c>
      <c r="D34" s="4">
        <v>7.3</v>
      </c>
      <c r="E34" s="4">
        <v>66</v>
      </c>
      <c r="F34" s="4">
        <v>75</v>
      </c>
      <c r="G34" s="4">
        <f t="shared" si="25"/>
        <v>0.29999999999999982</v>
      </c>
      <c r="H34" s="5">
        <f t="shared" si="20"/>
        <v>9</v>
      </c>
      <c r="L34" s="3" t="s">
        <v>45</v>
      </c>
      <c r="M34" s="4">
        <v>7.6</v>
      </c>
      <c r="N34" s="4">
        <v>9.4</v>
      </c>
      <c r="O34" s="4">
        <v>66</v>
      </c>
      <c r="P34" s="4">
        <v>62</v>
      </c>
      <c r="Q34" s="4">
        <f>ABS(M34-N34)</f>
        <v>1.8000000000000007</v>
      </c>
      <c r="R34" s="5">
        <f t="shared" si="21"/>
        <v>4</v>
      </c>
      <c r="V34" s="3" t="s">
        <v>45</v>
      </c>
      <c r="W34" s="4">
        <v>7.6</v>
      </c>
      <c r="X34" s="4">
        <v>7</v>
      </c>
      <c r="Y34" s="4">
        <v>66</v>
      </c>
      <c r="Z34" s="4">
        <v>83.8</v>
      </c>
      <c r="AA34" s="4">
        <f t="shared" si="27"/>
        <v>0.59999999999999964</v>
      </c>
      <c r="AB34" s="5">
        <f t="shared" si="22"/>
        <v>17.799999999999997</v>
      </c>
      <c r="AG34" s="3" t="s">
        <v>45</v>
      </c>
      <c r="AH34" s="4">
        <v>7.6</v>
      </c>
      <c r="AI34" s="4"/>
      <c r="AJ34" s="4">
        <v>66</v>
      </c>
      <c r="AK34" s="4">
        <v>64</v>
      </c>
      <c r="AL34" s="4">
        <f t="shared" si="28"/>
        <v>7.6</v>
      </c>
      <c r="AM34" s="5">
        <f t="shared" si="23"/>
        <v>2</v>
      </c>
      <c r="AR34" s="3" t="s">
        <v>45</v>
      </c>
      <c r="AS34" s="4">
        <v>7.6</v>
      </c>
      <c r="AT34" s="4">
        <v>7.7</v>
      </c>
      <c r="AU34" s="4">
        <v>66</v>
      </c>
      <c r="AV34" s="4">
        <v>68.7</v>
      </c>
      <c r="AW34" s="4">
        <f t="shared" si="29"/>
        <v>0.10000000000000053</v>
      </c>
      <c r="AX34" s="5">
        <f t="shared" si="24"/>
        <v>2.7000000000000028</v>
      </c>
    </row>
    <row r="35" spans="2:50" x14ac:dyDescent="0.25">
      <c r="B35" s="6"/>
      <c r="C35" s="7">
        <v>11.6</v>
      </c>
      <c r="D35" s="7">
        <v>13.2</v>
      </c>
      <c r="E35" s="7">
        <v>87</v>
      </c>
      <c r="F35" s="7">
        <v>79.2</v>
      </c>
      <c r="G35" s="7">
        <f t="shared" si="25"/>
        <v>1.5999999999999996</v>
      </c>
      <c r="H35" s="8">
        <f t="shared" si="20"/>
        <v>7.7999999999999972</v>
      </c>
      <c r="L35" s="6"/>
      <c r="M35" s="7">
        <v>11.6</v>
      </c>
      <c r="N35" s="7">
        <v>13.6</v>
      </c>
      <c r="O35" s="7">
        <v>87</v>
      </c>
      <c r="P35" s="7">
        <v>84</v>
      </c>
      <c r="Q35">
        <f t="shared" si="26"/>
        <v>2</v>
      </c>
      <c r="R35" s="13">
        <f t="shared" si="21"/>
        <v>3</v>
      </c>
      <c r="V35" s="6"/>
      <c r="W35" s="7">
        <v>11.6</v>
      </c>
      <c r="X35" s="7">
        <v>14.4</v>
      </c>
      <c r="Y35" s="7">
        <v>87</v>
      </c>
      <c r="Z35" s="7">
        <v>90.8</v>
      </c>
      <c r="AA35" s="7">
        <f t="shared" si="27"/>
        <v>2.8000000000000007</v>
      </c>
      <c r="AB35" s="8">
        <f t="shared" si="22"/>
        <v>3.7999999999999972</v>
      </c>
      <c r="AG35" s="6"/>
      <c r="AH35" s="7">
        <v>11.6</v>
      </c>
      <c r="AI35" s="7"/>
      <c r="AJ35" s="7">
        <v>87</v>
      </c>
      <c r="AK35" s="7">
        <v>133</v>
      </c>
      <c r="AL35">
        <f t="shared" si="28"/>
        <v>11.6</v>
      </c>
      <c r="AM35" s="13">
        <f t="shared" si="23"/>
        <v>46</v>
      </c>
      <c r="AR35" s="6"/>
      <c r="AS35" s="7">
        <v>11.6</v>
      </c>
      <c r="AT35" s="7">
        <v>14.4</v>
      </c>
      <c r="AU35" s="7">
        <v>87</v>
      </c>
      <c r="AV35" s="7">
        <v>102.9</v>
      </c>
      <c r="AW35">
        <f t="shared" si="29"/>
        <v>2.8000000000000007</v>
      </c>
      <c r="AX35" s="13">
        <f t="shared" si="24"/>
        <v>15.900000000000006</v>
      </c>
    </row>
    <row r="36" spans="2:50" x14ac:dyDescent="0.25">
      <c r="B36" s="3" t="s">
        <v>56</v>
      </c>
      <c r="C36" s="4">
        <v>8</v>
      </c>
      <c r="D36" s="4">
        <v>8.6</v>
      </c>
      <c r="E36" s="4">
        <v>76</v>
      </c>
      <c r="F36" s="4">
        <v>70.599999999999994</v>
      </c>
      <c r="G36" s="4">
        <f t="shared" si="25"/>
        <v>0.59999999999999964</v>
      </c>
      <c r="H36" s="5">
        <f t="shared" si="20"/>
        <v>5.4000000000000057</v>
      </c>
      <c r="L36" s="3" t="s">
        <v>56</v>
      </c>
      <c r="M36" s="4">
        <v>8</v>
      </c>
      <c r="N36" s="4">
        <v>9.5</v>
      </c>
      <c r="O36" s="4">
        <v>76</v>
      </c>
      <c r="P36" s="4">
        <v>48.4</v>
      </c>
      <c r="Q36" s="4">
        <f t="shared" si="26"/>
        <v>1.5</v>
      </c>
      <c r="R36" s="5">
        <f t="shared" si="21"/>
        <v>27.6</v>
      </c>
      <c r="V36" s="3" t="s">
        <v>56</v>
      </c>
      <c r="W36" s="4">
        <v>8</v>
      </c>
      <c r="X36" s="4">
        <v>9.4</v>
      </c>
      <c r="Y36" s="4">
        <v>76</v>
      </c>
      <c r="Z36" s="4">
        <v>81.2</v>
      </c>
      <c r="AA36" s="4">
        <f t="shared" si="27"/>
        <v>1.4000000000000004</v>
      </c>
      <c r="AB36" s="5">
        <f t="shared" si="22"/>
        <v>5.2000000000000028</v>
      </c>
      <c r="AG36" s="3" t="s">
        <v>56</v>
      </c>
      <c r="AH36" s="4">
        <v>8</v>
      </c>
      <c r="AI36" s="4"/>
      <c r="AJ36" s="4">
        <v>76</v>
      </c>
      <c r="AK36" s="4">
        <v>141</v>
      </c>
      <c r="AL36" s="4">
        <f t="shared" si="28"/>
        <v>8</v>
      </c>
      <c r="AM36" s="5">
        <f t="shared" si="23"/>
        <v>65</v>
      </c>
      <c r="AR36" s="3" t="s">
        <v>56</v>
      </c>
      <c r="AS36" s="4">
        <v>8</v>
      </c>
      <c r="AT36" s="4">
        <v>8.8000000000000007</v>
      </c>
      <c r="AU36" s="4">
        <v>76</v>
      </c>
      <c r="AV36" s="4">
        <v>67.099999999999994</v>
      </c>
      <c r="AW36" s="4">
        <f t="shared" si="29"/>
        <v>0.80000000000000071</v>
      </c>
      <c r="AX36" s="5">
        <f t="shared" si="24"/>
        <v>8.9000000000000057</v>
      </c>
    </row>
    <row r="37" spans="2:50" x14ac:dyDescent="0.25">
      <c r="B37" s="6"/>
      <c r="C37" s="7">
        <v>11.6</v>
      </c>
      <c r="D37" s="7">
        <v>9.9</v>
      </c>
      <c r="E37" s="7">
        <v>101</v>
      </c>
      <c r="F37" s="7">
        <v>78.599999999999994</v>
      </c>
      <c r="G37" s="7">
        <f t="shared" si="25"/>
        <v>1.6999999999999993</v>
      </c>
      <c r="H37" s="8">
        <f t="shared" si="20"/>
        <v>22.400000000000006</v>
      </c>
      <c r="L37" s="6"/>
      <c r="M37" s="7">
        <v>11.6</v>
      </c>
      <c r="N37" s="7">
        <v>10</v>
      </c>
      <c r="O37" s="7">
        <v>101</v>
      </c>
      <c r="P37" s="7">
        <v>87.2</v>
      </c>
      <c r="Q37" s="7">
        <f t="shared" si="26"/>
        <v>1.5999999999999996</v>
      </c>
      <c r="R37" s="8">
        <f t="shared" si="21"/>
        <v>13.799999999999997</v>
      </c>
      <c r="V37" s="6"/>
      <c r="W37" s="7">
        <v>11.6</v>
      </c>
      <c r="X37" s="7">
        <v>7</v>
      </c>
      <c r="Y37" s="7">
        <v>101</v>
      </c>
      <c r="Z37" s="7">
        <v>95.8</v>
      </c>
      <c r="AA37" s="7">
        <f t="shared" si="27"/>
        <v>4.5999999999999996</v>
      </c>
      <c r="AB37" s="8">
        <f t="shared" si="22"/>
        <v>5.2000000000000028</v>
      </c>
      <c r="AG37" s="6"/>
      <c r="AH37" s="7">
        <v>11.6</v>
      </c>
      <c r="AI37" s="7"/>
      <c r="AJ37" s="7">
        <v>101</v>
      </c>
      <c r="AK37" s="7">
        <v>161.5</v>
      </c>
      <c r="AL37" s="7">
        <f t="shared" si="28"/>
        <v>11.6</v>
      </c>
      <c r="AM37" s="8">
        <f t="shared" si="23"/>
        <v>60.5</v>
      </c>
      <c r="AR37" s="6"/>
      <c r="AS37" s="7">
        <v>11.6</v>
      </c>
      <c r="AT37" s="7">
        <v>7.8</v>
      </c>
      <c r="AU37" s="7">
        <v>101</v>
      </c>
      <c r="AV37" s="7">
        <v>92.2</v>
      </c>
      <c r="AW37" s="7">
        <f t="shared" si="29"/>
        <v>3.8</v>
      </c>
      <c r="AX37" s="8">
        <f t="shared" si="24"/>
        <v>8.7999999999999972</v>
      </c>
    </row>
    <row r="38" spans="2:50" x14ac:dyDescent="0.25">
      <c r="B38" s="3" t="s">
        <v>57</v>
      </c>
      <c r="C38" s="4">
        <v>8.4</v>
      </c>
      <c r="D38" s="4">
        <v>9.1999999999999993</v>
      </c>
      <c r="E38" s="4">
        <v>73</v>
      </c>
      <c r="F38" s="4">
        <v>73.3</v>
      </c>
      <c r="G38" s="4">
        <f t="shared" si="25"/>
        <v>0.79999999999999893</v>
      </c>
      <c r="H38" s="5">
        <f t="shared" si="20"/>
        <v>0.29999999999999716</v>
      </c>
      <c r="L38" s="3" t="s">
        <v>57</v>
      </c>
      <c r="M38" s="4">
        <v>8.4</v>
      </c>
      <c r="N38" s="4">
        <v>9.9</v>
      </c>
      <c r="O38" s="4">
        <v>73</v>
      </c>
      <c r="P38" s="4">
        <v>48.4</v>
      </c>
      <c r="Q38" s="4">
        <f t="shared" si="26"/>
        <v>1.5</v>
      </c>
      <c r="R38" s="5">
        <f t="shared" si="21"/>
        <v>24.6</v>
      </c>
      <c r="V38" s="3" t="s">
        <v>57</v>
      </c>
      <c r="W38" s="4">
        <v>8.4</v>
      </c>
      <c r="X38" s="4">
        <v>8.8000000000000007</v>
      </c>
      <c r="Y38" s="4">
        <v>73</v>
      </c>
      <c r="Z38" s="4">
        <v>93.2</v>
      </c>
      <c r="AA38" s="4">
        <f t="shared" si="27"/>
        <v>0.40000000000000036</v>
      </c>
      <c r="AB38" s="5">
        <f t="shared" si="22"/>
        <v>20.200000000000003</v>
      </c>
      <c r="AG38" s="3" t="s">
        <v>57</v>
      </c>
      <c r="AH38" s="4">
        <v>8.4</v>
      </c>
      <c r="AI38" s="4"/>
      <c r="AJ38" s="4">
        <v>73</v>
      </c>
      <c r="AK38" s="4">
        <v>220</v>
      </c>
      <c r="AL38" s="4">
        <f t="shared" si="28"/>
        <v>8.4</v>
      </c>
      <c r="AM38" s="5">
        <f t="shared" si="23"/>
        <v>147</v>
      </c>
      <c r="AR38" s="3" t="s">
        <v>57</v>
      </c>
      <c r="AS38" s="4">
        <v>8.4</v>
      </c>
      <c r="AT38" s="4">
        <v>9.8000000000000007</v>
      </c>
      <c r="AU38" s="4">
        <v>73</v>
      </c>
      <c r="AV38" s="4">
        <v>53.8</v>
      </c>
      <c r="AW38" s="4">
        <f t="shared" si="29"/>
        <v>1.4000000000000004</v>
      </c>
      <c r="AX38" s="5">
        <f t="shared" si="24"/>
        <v>19.200000000000003</v>
      </c>
    </row>
    <row r="39" spans="2:50" x14ac:dyDescent="0.25">
      <c r="B39" s="6"/>
      <c r="C39" s="7">
        <v>12</v>
      </c>
      <c r="D39" s="7">
        <v>14</v>
      </c>
      <c r="E39" s="7">
        <v>100</v>
      </c>
      <c r="F39" s="7">
        <v>72</v>
      </c>
      <c r="G39" s="7">
        <f t="shared" si="25"/>
        <v>2</v>
      </c>
      <c r="H39" s="8">
        <f t="shared" si="20"/>
        <v>28</v>
      </c>
      <c r="L39" s="6"/>
      <c r="M39" s="7">
        <v>12</v>
      </c>
      <c r="N39" s="7">
        <v>14.6</v>
      </c>
      <c r="O39" s="7">
        <v>100</v>
      </c>
      <c r="P39" s="7">
        <v>95.6</v>
      </c>
      <c r="Q39" s="7">
        <f t="shared" si="26"/>
        <v>2.5999999999999996</v>
      </c>
      <c r="R39" s="8">
        <f t="shared" si="21"/>
        <v>4.4000000000000057</v>
      </c>
      <c r="V39" s="6"/>
      <c r="W39" s="7">
        <v>12</v>
      </c>
      <c r="X39" s="7">
        <v>11.4</v>
      </c>
      <c r="Y39" s="7">
        <v>100</v>
      </c>
      <c r="Z39" s="7">
        <v>80</v>
      </c>
      <c r="AA39" s="7">
        <f t="shared" si="27"/>
        <v>0.59999999999999964</v>
      </c>
      <c r="AB39" s="8">
        <f t="shared" si="22"/>
        <v>20</v>
      </c>
      <c r="AG39" s="6"/>
      <c r="AH39" s="7">
        <v>12</v>
      </c>
      <c r="AI39" s="7"/>
      <c r="AJ39" s="7">
        <v>100</v>
      </c>
      <c r="AK39" s="7">
        <v>88.8</v>
      </c>
      <c r="AL39" s="7">
        <f t="shared" si="28"/>
        <v>12</v>
      </c>
      <c r="AM39" s="8">
        <f t="shared" si="23"/>
        <v>11.200000000000003</v>
      </c>
      <c r="AR39" s="6"/>
      <c r="AS39" s="7">
        <v>12</v>
      </c>
      <c r="AT39" s="7">
        <v>12.8</v>
      </c>
      <c r="AU39" s="7">
        <v>100</v>
      </c>
      <c r="AV39" s="7">
        <v>69</v>
      </c>
      <c r="AW39" s="7">
        <f t="shared" si="29"/>
        <v>0.80000000000000071</v>
      </c>
      <c r="AX39" s="8">
        <f t="shared" si="24"/>
        <v>31</v>
      </c>
    </row>
    <row r="40" spans="2:50" x14ac:dyDescent="0.25">
      <c r="B40" s="3" t="s">
        <v>58</v>
      </c>
      <c r="C40" s="4">
        <v>8.8000000000000007</v>
      </c>
      <c r="D40" s="4">
        <v>8.5</v>
      </c>
      <c r="E40" s="4">
        <v>68</v>
      </c>
      <c r="F40" s="4">
        <v>72.3</v>
      </c>
      <c r="G40" s="4">
        <f t="shared" si="25"/>
        <v>0.30000000000000071</v>
      </c>
      <c r="H40" s="5">
        <f t="shared" si="20"/>
        <v>4.2999999999999972</v>
      </c>
      <c r="L40" s="3" t="s">
        <v>58</v>
      </c>
      <c r="M40" s="4">
        <v>8.8000000000000007</v>
      </c>
      <c r="N40" s="4">
        <v>9.3000000000000007</v>
      </c>
      <c r="O40" s="4">
        <v>68</v>
      </c>
      <c r="P40" s="4">
        <v>89.6</v>
      </c>
      <c r="Q40" s="4">
        <f t="shared" si="26"/>
        <v>0.5</v>
      </c>
      <c r="R40" s="5">
        <f t="shared" si="21"/>
        <v>21.599999999999994</v>
      </c>
      <c r="V40" s="3" t="s">
        <v>58</v>
      </c>
      <c r="W40" s="4">
        <v>8.8000000000000007</v>
      </c>
      <c r="X40" s="4">
        <v>8.1999999999999993</v>
      </c>
      <c r="Y40" s="4">
        <v>68</v>
      </c>
      <c r="Z40" s="4">
        <v>91.7</v>
      </c>
      <c r="AA40" s="4">
        <f t="shared" si="27"/>
        <v>0.60000000000000142</v>
      </c>
      <c r="AB40" s="5">
        <f t="shared" si="22"/>
        <v>23.700000000000003</v>
      </c>
      <c r="AG40" s="3" t="s">
        <v>58</v>
      </c>
      <c r="AH40" s="4">
        <v>8.8000000000000007</v>
      </c>
      <c r="AI40" s="4"/>
      <c r="AJ40" s="4">
        <v>68</v>
      </c>
      <c r="AK40" s="4">
        <v>95.5</v>
      </c>
      <c r="AL40" s="4">
        <f t="shared" si="28"/>
        <v>8.8000000000000007</v>
      </c>
      <c r="AM40" s="5">
        <f t="shared" si="23"/>
        <v>27.5</v>
      </c>
      <c r="AR40" s="3" t="s">
        <v>58</v>
      </c>
      <c r="AS40" s="4">
        <v>8.8000000000000007</v>
      </c>
      <c r="AT40" s="4">
        <v>8.6</v>
      </c>
      <c r="AU40" s="4">
        <v>68</v>
      </c>
      <c r="AV40" s="4">
        <v>70.099999999999994</v>
      </c>
      <c r="AW40" s="4">
        <f t="shared" si="29"/>
        <v>0.20000000000000107</v>
      </c>
      <c r="AX40" s="5">
        <f t="shared" si="24"/>
        <v>2.0999999999999943</v>
      </c>
    </row>
    <row r="41" spans="2:50" x14ac:dyDescent="0.25">
      <c r="B41" s="6"/>
      <c r="C41" s="7">
        <v>8</v>
      </c>
      <c r="D41" s="7">
        <v>7.4</v>
      </c>
      <c r="E41" s="7">
        <v>97</v>
      </c>
      <c r="F41" s="7">
        <v>92.4</v>
      </c>
      <c r="G41" s="7">
        <f t="shared" si="25"/>
        <v>0.59999999999999964</v>
      </c>
      <c r="H41" s="8">
        <f t="shared" si="20"/>
        <v>4.5999999999999943</v>
      </c>
      <c r="L41" s="6"/>
      <c r="M41" s="7">
        <v>8</v>
      </c>
      <c r="N41" s="7">
        <v>9.4</v>
      </c>
      <c r="O41" s="7">
        <v>97</v>
      </c>
      <c r="P41" s="7">
        <v>90.8</v>
      </c>
      <c r="Q41" s="7">
        <f t="shared" si="26"/>
        <v>1.4000000000000004</v>
      </c>
      <c r="R41" s="8">
        <f t="shared" si="21"/>
        <v>6.2000000000000028</v>
      </c>
      <c r="V41" s="6"/>
      <c r="W41" s="7">
        <v>8</v>
      </c>
      <c r="X41" s="7">
        <v>7</v>
      </c>
      <c r="Y41" s="7">
        <v>97</v>
      </c>
      <c r="Z41" s="7">
        <v>90</v>
      </c>
      <c r="AA41" s="7">
        <f t="shared" si="27"/>
        <v>1</v>
      </c>
      <c r="AB41" s="8">
        <f t="shared" si="22"/>
        <v>7</v>
      </c>
      <c r="AG41" s="6"/>
      <c r="AH41" s="7">
        <v>8</v>
      </c>
      <c r="AI41" s="7"/>
      <c r="AJ41" s="7">
        <v>97</v>
      </c>
      <c r="AK41" s="7">
        <v>153</v>
      </c>
      <c r="AL41" s="7">
        <f t="shared" si="28"/>
        <v>8</v>
      </c>
      <c r="AM41" s="8">
        <f t="shared" si="23"/>
        <v>56</v>
      </c>
      <c r="AR41" s="6"/>
      <c r="AS41" s="7">
        <v>8</v>
      </c>
      <c r="AT41" s="7">
        <v>7.6</v>
      </c>
      <c r="AU41" s="7">
        <v>97</v>
      </c>
      <c r="AV41" s="7">
        <v>88.6</v>
      </c>
      <c r="AW41" s="7">
        <f t="shared" si="29"/>
        <v>0.40000000000000036</v>
      </c>
      <c r="AX41" s="8">
        <f t="shared" si="24"/>
        <v>8.4000000000000057</v>
      </c>
    </row>
    <row r="42" spans="2:50" x14ac:dyDescent="0.25">
      <c r="B42" s="3" t="s">
        <v>59</v>
      </c>
      <c r="C42" s="4">
        <v>8.8000000000000007</v>
      </c>
      <c r="D42" s="4">
        <v>8.3000000000000007</v>
      </c>
      <c r="E42" s="4">
        <v>70</v>
      </c>
      <c r="F42" s="4">
        <v>84.6</v>
      </c>
      <c r="G42">
        <f t="shared" si="25"/>
        <v>0.5</v>
      </c>
      <c r="H42" s="13">
        <f t="shared" si="20"/>
        <v>14.599999999999994</v>
      </c>
      <c r="L42" s="3" t="s">
        <v>59</v>
      </c>
      <c r="M42" s="4">
        <v>8.8000000000000007</v>
      </c>
      <c r="N42" s="4">
        <v>9.1999999999999993</v>
      </c>
      <c r="O42" s="4">
        <v>70</v>
      </c>
      <c r="P42" s="4">
        <v>116.4</v>
      </c>
      <c r="Q42" s="4">
        <f t="shared" si="26"/>
        <v>0.39999999999999858</v>
      </c>
      <c r="R42" s="5">
        <f t="shared" si="21"/>
        <v>46.400000000000006</v>
      </c>
      <c r="V42" s="3" t="s">
        <v>59</v>
      </c>
      <c r="W42" s="4">
        <v>8.8000000000000007</v>
      </c>
      <c r="X42" s="4">
        <v>8.1999999999999993</v>
      </c>
      <c r="Y42" s="4">
        <v>70</v>
      </c>
      <c r="Z42" s="4">
        <v>88.8</v>
      </c>
      <c r="AA42">
        <f t="shared" si="27"/>
        <v>0.60000000000000142</v>
      </c>
      <c r="AB42" s="13">
        <f t="shared" si="22"/>
        <v>18.799999999999997</v>
      </c>
      <c r="AG42" s="3" t="s">
        <v>59</v>
      </c>
      <c r="AH42" s="4">
        <v>8.8000000000000007</v>
      </c>
      <c r="AI42" s="4"/>
      <c r="AJ42" s="4">
        <v>70</v>
      </c>
      <c r="AK42" s="4">
        <v>195</v>
      </c>
      <c r="AL42">
        <f t="shared" si="28"/>
        <v>8.8000000000000007</v>
      </c>
      <c r="AM42" s="13">
        <f t="shared" si="23"/>
        <v>125</v>
      </c>
      <c r="AR42" s="3" t="s">
        <v>59</v>
      </c>
      <c r="AS42" s="4">
        <v>8.8000000000000007</v>
      </c>
      <c r="AT42" s="4">
        <v>8.1999999999999993</v>
      </c>
      <c r="AU42" s="4">
        <v>70</v>
      </c>
      <c r="AV42" s="4">
        <v>90.3</v>
      </c>
      <c r="AW42" s="4">
        <f t="shared" si="29"/>
        <v>0.60000000000000142</v>
      </c>
      <c r="AX42" s="5">
        <f t="shared" si="24"/>
        <v>20.299999999999997</v>
      </c>
    </row>
    <row r="43" spans="2:50" x14ac:dyDescent="0.25">
      <c r="B43" s="6"/>
      <c r="C43" s="7">
        <v>9.1999999999999993</v>
      </c>
      <c r="D43" s="7">
        <v>8.3000000000000007</v>
      </c>
      <c r="E43" s="7">
        <v>94</v>
      </c>
      <c r="F43" s="7">
        <v>86.6</v>
      </c>
      <c r="G43" s="7">
        <f t="shared" si="25"/>
        <v>0.89999999999999858</v>
      </c>
      <c r="H43" s="8">
        <f t="shared" si="20"/>
        <v>7.4000000000000057</v>
      </c>
      <c r="L43" s="6"/>
      <c r="M43" s="7">
        <v>9.1999999999999993</v>
      </c>
      <c r="N43" s="7">
        <v>9.4</v>
      </c>
      <c r="O43" s="7">
        <v>94</v>
      </c>
      <c r="P43" s="7">
        <v>118.8</v>
      </c>
      <c r="Q43" s="7">
        <f t="shared" si="26"/>
        <v>0.20000000000000107</v>
      </c>
      <c r="R43" s="8">
        <f t="shared" si="21"/>
        <v>24.799999999999997</v>
      </c>
      <c r="V43" s="6"/>
      <c r="W43" s="7">
        <v>9.1999999999999993</v>
      </c>
      <c r="X43" s="7">
        <v>8.1999999999999993</v>
      </c>
      <c r="Y43" s="7">
        <v>94</v>
      </c>
      <c r="Z43" s="7">
        <v>94</v>
      </c>
      <c r="AA43" s="7">
        <f t="shared" si="27"/>
        <v>1</v>
      </c>
      <c r="AB43" s="8">
        <f t="shared" si="22"/>
        <v>0</v>
      </c>
      <c r="AG43" s="6"/>
      <c r="AH43" s="7">
        <v>9.1999999999999993</v>
      </c>
      <c r="AI43" s="7"/>
      <c r="AJ43" s="7">
        <v>94</v>
      </c>
      <c r="AK43" s="7">
        <v>88</v>
      </c>
      <c r="AL43" s="7">
        <f t="shared" si="28"/>
        <v>9.1999999999999993</v>
      </c>
      <c r="AM43" s="8">
        <f t="shared" si="23"/>
        <v>6</v>
      </c>
      <c r="AR43" s="6"/>
      <c r="AS43" s="7">
        <v>9.1999999999999993</v>
      </c>
      <c r="AT43" s="7">
        <v>7.8</v>
      </c>
      <c r="AU43" s="7">
        <v>94</v>
      </c>
      <c r="AV43" s="7">
        <v>99.6</v>
      </c>
      <c r="AW43" s="7">
        <f t="shared" si="29"/>
        <v>1.3999999999999995</v>
      </c>
      <c r="AX43" s="8">
        <f t="shared" si="24"/>
        <v>5.5999999999999943</v>
      </c>
    </row>
    <row r="44" spans="2:50" x14ac:dyDescent="0.25">
      <c r="B44" s="3" t="s">
        <v>26</v>
      </c>
      <c r="C44" s="4">
        <v>16.5</v>
      </c>
      <c r="D44" s="4">
        <v>16.2</v>
      </c>
      <c r="E44" s="4">
        <v>100</v>
      </c>
      <c r="F44" s="4">
        <v>93.8</v>
      </c>
      <c r="G44">
        <f t="shared" ref="G44:G54" si="30">ABS(C44-D44)</f>
        <v>0.30000000000000071</v>
      </c>
      <c r="H44" s="13">
        <f t="shared" ref="H44:H54" si="31">ABS(E44-F44)</f>
        <v>6.2000000000000028</v>
      </c>
      <c r="L44" s="3" t="s">
        <v>26</v>
      </c>
      <c r="M44" s="4">
        <v>16.5</v>
      </c>
      <c r="N44" s="4">
        <v>16.899999999999999</v>
      </c>
      <c r="O44" s="4">
        <v>100</v>
      </c>
      <c r="P44" s="4">
        <v>100</v>
      </c>
      <c r="Q44">
        <f t="shared" ref="Q44:Q54" si="32">ABS(M44-N44)</f>
        <v>0.39999999999999858</v>
      </c>
      <c r="R44" s="13">
        <f t="shared" ref="R44:R54" si="33">ABS(O44-P44)</f>
        <v>0</v>
      </c>
      <c r="V44" s="3" t="s">
        <v>26</v>
      </c>
      <c r="W44" s="4">
        <v>16.5</v>
      </c>
      <c r="X44" s="4">
        <v>17.600000000000001</v>
      </c>
      <c r="Y44" s="4">
        <v>100</v>
      </c>
      <c r="Z44" s="4">
        <v>100</v>
      </c>
      <c r="AA44" s="4">
        <f t="shared" ref="AA44:AA54" si="34">ABS(W44-X44)</f>
        <v>1.1000000000000014</v>
      </c>
      <c r="AB44" s="5">
        <f t="shared" ref="AB44:AB54" si="35">ABS(Y44-Z44)</f>
        <v>0</v>
      </c>
      <c r="AG44" s="3" t="s">
        <v>26</v>
      </c>
      <c r="AH44" s="4">
        <v>16.5</v>
      </c>
      <c r="AI44" s="4"/>
      <c r="AJ44" s="4">
        <v>100</v>
      </c>
      <c r="AK44" s="4">
        <v>108</v>
      </c>
      <c r="AL44">
        <f t="shared" ref="AL44:AL54" si="36">ABS(AH44-AI44)</f>
        <v>16.5</v>
      </c>
      <c r="AM44" s="13">
        <f t="shared" ref="AM44:AM54" si="37">ABS(AJ44-AK44)</f>
        <v>8</v>
      </c>
      <c r="AR44" s="3" t="s">
        <v>26</v>
      </c>
      <c r="AS44" s="4">
        <v>16.5</v>
      </c>
      <c r="AT44" s="4">
        <v>17.2</v>
      </c>
      <c r="AU44" s="4">
        <v>100</v>
      </c>
      <c r="AV44" s="4">
        <v>91.3</v>
      </c>
      <c r="AW44">
        <f t="shared" ref="AW44:AW54" si="38">ABS(AS44-AT44)</f>
        <v>0.69999999999999929</v>
      </c>
      <c r="AX44" s="13">
        <f t="shared" ref="AX44:AX54" si="39">ABS(AU44-AV44)</f>
        <v>8.7000000000000028</v>
      </c>
    </row>
    <row r="45" spans="2:50" x14ac:dyDescent="0.25">
      <c r="B45" s="6"/>
      <c r="C45" s="7">
        <v>12.5</v>
      </c>
      <c r="D45" s="7">
        <v>11</v>
      </c>
      <c r="E45" s="7">
        <v>75</v>
      </c>
      <c r="F45" s="7">
        <v>80</v>
      </c>
      <c r="G45" s="7">
        <f t="shared" si="30"/>
        <v>1.5</v>
      </c>
      <c r="H45" s="8">
        <f t="shared" si="31"/>
        <v>5</v>
      </c>
      <c r="L45" s="6"/>
      <c r="M45" s="7">
        <v>12.5</v>
      </c>
      <c r="N45" s="7">
        <v>11.7</v>
      </c>
      <c r="O45" s="7">
        <v>75</v>
      </c>
      <c r="P45" s="7">
        <v>55.5</v>
      </c>
      <c r="Q45" s="7">
        <f t="shared" si="32"/>
        <v>0.80000000000000071</v>
      </c>
      <c r="R45" s="8">
        <f t="shared" si="33"/>
        <v>19.5</v>
      </c>
      <c r="V45" s="6"/>
      <c r="W45" s="7">
        <v>12.5</v>
      </c>
      <c r="X45" s="7">
        <v>11</v>
      </c>
      <c r="Y45" s="7">
        <v>75</v>
      </c>
      <c r="Z45" s="7">
        <v>105.5</v>
      </c>
      <c r="AA45" s="7">
        <f t="shared" si="34"/>
        <v>1.5</v>
      </c>
      <c r="AB45" s="8">
        <f t="shared" si="35"/>
        <v>30.5</v>
      </c>
      <c r="AG45" s="6"/>
      <c r="AH45" s="7">
        <v>12.5</v>
      </c>
      <c r="AI45" s="7"/>
      <c r="AJ45" s="7">
        <v>75</v>
      </c>
      <c r="AK45" s="7">
        <v>62</v>
      </c>
      <c r="AL45" s="7">
        <f t="shared" si="36"/>
        <v>12.5</v>
      </c>
      <c r="AM45" s="8">
        <f t="shared" si="37"/>
        <v>13</v>
      </c>
      <c r="AR45" s="6"/>
      <c r="AS45" s="7">
        <v>12.5</v>
      </c>
      <c r="AT45" s="7">
        <v>11</v>
      </c>
      <c r="AU45" s="7">
        <v>75</v>
      </c>
      <c r="AV45" s="7">
        <v>81</v>
      </c>
      <c r="AW45" s="7">
        <f t="shared" si="38"/>
        <v>1.5</v>
      </c>
      <c r="AX45" s="8">
        <f t="shared" si="39"/>
        <v>6</v>
      </c>
    </row>
    <row r="46" spans="2:50" x14ac:dyDescent="0.25">
      <c r="B46" s="3" t="s">
        <v>27</v>
      </c>
      <c r="C46" s="4">
        <v>10</v>
      </c>
      <c r="D46" s="4">
        <v>10</v>
      </c>
      <c r="E46" s="4">
        <v>72</v>
      </c>
      <c r="F46" s="4">
        <v>78.8</v>
      </c>
      <c r="G46" s="4">
        <f t="shared" si="30"/>
        <v>0</v>
      </c>
      <c r="H46" s="5">
        <f t="shared" si="31"/>
        <v>6.7999999999999972</v>
      </c>
      <c r="L46" s="3" t="s">
        <v>27</v>
      </c>
      <c r="M46" s="4">
        <v>10</v>
      </c>
      <c r="N46" s="4">
        <v>8.3000000000000007</v>
      </c>
      <c r="O46" s="4">
        <v>72</v>
      </c>
      <c r="P46" s="4">
        <v>49.5</v>
      </c>
      <c r="Q46" s="4">
        <f t="shared" si="32"/>
        <v>1.6999999999999993</v>
      </c>
      <c r="R46" s="5">
        <f t="shared" si="33"/>
        <v>22.5</v>
      </c>
      <c r="V46" s="3" t="s">
        <v>27</v>
      </c>
      <c r="W46" s="4">
        <v>10</v>
      </c>
      <c r="X46" s="4">
        <v>10.3</v>
      </c>
      <c r="Y46" s="4">
        <v>72</v>
      </c>
      <c r="Z46" s="4">
        <v>101.8</v>
      </c>
      <c r="AA46" s="4">
        <f t="shared" si="34"/>
        <v>0.30000000000000071</v>
      </c>
      <c r="AB46" s="5">
        <f t="shared" si="35"/>
        <v>29.799999999999997</v>
      </c>
      <c r="AG46" s="3" t="s">
        <v>27</v>
      </c>
      <c r="AH46" s="4">
        <v>10</v>
      </c>
      <c r="AI46" s="4"/>
      <c r="AJ46" s="4">
        <v>72</v>
      </c>
      <c r="AK46" s="4">
        <v>157</v>
      </c>
      <c r="AL46" s="4">
        <f t="shared" si="36"/>
        <v>10</v>
      </c>
      <c r="AM46" s="5">
        <f t="shared" si="37"/>
        <v>85</v>
      </c>
      <c r="AR46" s="3" t="s">
        <v>27</v>
      </c>
      <c r="AS46" s="4">
        <v>10</v>
      </c>
      <c r="AT46" s="4">
        <v>9.8000000000000007</v>
      </c>
      <c r="AU46" s="4">
        <v>72</v>
      </c>
      <c r="AV46" s="4">
        <v>71</v>
      </c>
      <c r="AW46" s="4">
        <f t="shared" si="38"/>
        <v>0.19999999999999929</v>
      </c>
      <c r="AX46" s="5">
        <f t="shared" si="39"/>
        <v>1</v>
      </c>
    </row>
    <row r="47" spans="2:50" x14ac:dyDescent="0.25">
      <c r="B47" s="6"/>
      <c r="C47" s="7">
        <v>17.5</v>
      </c>
      <c r="D47" s="7">
        <v>17</v>
      </c>
      <c r="E47" s="7">
        <v>111</v>
      </c>
      <c r="F47" s="7">
        <v>74.3</v>
      </c>
      <c r="G47" s="7">
        <f t="shared" si="30"/>
        <v>0.5</v>
      </c>
      <c r="H47" s="8">
        <f t="shared" si="31"/>
        <v>36.700000000000003</v>
      </c>
      <c r="L47" s="6"/>
      <c r="M47" s="7">
        <v>17.5</v>
      </c>
      <c r="N47" s="7">
        <v>17.2</v>
      </c>
      <c r="O47" s="7">
        <v>111</v>
      </c>
      <c r="P47" s="7">
        <v>63.5</v>
      </c>
      <c r="Q47" s="7">
        <f t="shared" si="32"/>
        <v>0.30000000000000071</v>
      </c>
      <c r="R47" s="8">
        <f t="shared" si="33"/>
        <v>47.5</v>
      </c>
      <c r="V47" s="6"/>
      <c r="W47" s="7">
        <v>17.5</v>
      </c>
      <c r="X47" s="7">
        <v>16.899999999999999</v>
      </c>
      <c r="Y47" s="7">
        <v>111</v>
      </c>
      <c r="Z47" s="7">
        <v>102.2</v>
      </c>
      <c r="AA47" s="7">
        <f t="shared" si="34"/>
        <v>0.60000000000000142</v>
      </c>
      <c r="AB47" s="8">
        <f t="shared" si="35"/>
        <v>8.7999999999999972</v>
      </c>
      <c r="AG47" s="6"/>
      <c r="AH47" s="7">
        <v>17.5</v>
      </c>
      <c r="AI47" s="7"/>
      <c r="AJ47" s="7">
        <v>111</v>
      </c>
      <c r="AK47" s="7">
        <v>75.3</v>
      </c>
      <c r="AL47" s="7">
        <f t="shared" si="36"/>
        <v>17.5</v>
      </c>
      <c r="AM47" s="8">
        <f t="shared" si="37"/>
        <v>35.700000000000003</v>
      </c>
      <c r="AR47" s="6"/>
      <c r="AS47" s="7">
        <v>17.5</v>
      </c>
      <c r="AT47" s="7">
        <v>16.5</v>
      </c>
      <c r="AU47" s="7">
        <v>111</v>
      </c>
      <c r="AV47" s="7">
        <v>81.599999999999994</v>
      </c>
      <c r="AW47" s="7">
        <f t="shared" si="38"/>
        <v>1</v>
      </c>
      <c r="AX47" s="8">
        <f t="shared" si="39"/>
        <v>29.400000000000006</v>
      </c>
    </row>
    <row r="48" spans="2:50" x14ac:dyDescent="0.25">
      <c r="B48" s="3" t="s">
        <v>28</v>
      </c>
      <c r="C48" s="4">
        <v>15.5</v>
      </c>
      <c r="D48" s="4">
        <v>14.6</v>
      </c>
      <c r="E48" s="4">
        <v>94</v>
      </c>
      <c r="F48" s="4">
        <v>85.5</v>
      </c>
      <c r="G48" s="4">
        <f t="shared" si="30"/>
        <v>0.90000000000000036</v>
      </c>
      <c r="H48" s="5">
        <f t="shared" si="31"/>
        <v>8.5</v>
      </c>
      <c r="L48" s="3" t="s">
        <v>28</v>
      </c>
      <c r="M48" s="4">
        <v>15.5</v>
      </c>
      <c r="N48" s="4">
        <v>14.6</v>
      </c>
      <c r="O48" s="4">
        <v>94</v>
      </c>
      <c r="P48" s="4">
        <v>72</v>
      </c>
      <c r="Q48" s="4">
        <f t="shared" si="32"/>
        <v>0.90000000000000036</v>
      </c>
      <c r="R48" s="5">
        <f t="shared" si="33"/>
        <v>22</v>
      </c>
      <c r="V48" s="3" t="s">
        <v>28</v>
      </c>
      <c r="W48" s="4">
        <v>15.5</v>
      </c>
      <c r="X48" s="4">
        <v>13.9</v>
      </c>
      <c r="Y48" s="4">
        <v>94</v>
      </c>
      <c r="Z48" s="4">
        <v>108.4</v>
      </c>
      <c r="AA48" s="4">
        <f t="shared" si="34"/>
        <v>1.5999999999999996</v>
      </c>
      <c r="AB48" s="5">
        <f t="shared" si="35"/>
        <v>14.400000000000006</v>
      </c>
      <c r="AG48" s="3" t="s">
        <v>28</v>
      </c>
      <c r="AH48" s="4">
        <v>15.5</v>
      </c>
      <c r="AI48" s="4"/>
      <c r="AJ48" s="4">
        <v>94</v>
      </c>
      <c r="AK48" s="4">
        <v>75</v>
      </c>
      <c r="AL48" s="4">
        <f t="shared" si="36"/>
        <v>15.5</v>
      </c>
      <c r="AM48" s="5">
        <f t="shared" si="37"/>
        <v>19</v>
      </c>
      <c r="AR48" s="3" t="s">
        <v>28</v>
      </c>
      <c r="AS48" s="4">
        <v>15.5</v>
      </c>
      <c r="AT48" s="4">
        <v>15.5</v>
      </c>
      <c r="AU48" s="4">
        <v>94</v>
      </c>
      <c r="AV48" s="4">
        <v>72.5</v>
      </c>
      <c r="AW48" s="4">
        <f t="shared" si="38"/>
        <v>0</v>
      </c>
      <c r="AX48" s="5">
        <f t="shared" si="39"/>
        <v>21.5</v>
      </c>
    </row>
    <row r="49" spans="2:50" x14ac:dyDescent="0.25">
      <c r="B49" s="6"/>
      <c r="C49" s="7">
        <v>13</v>
      </c>
      <c r="D49" s="7">
        <v>12.2</v>
      </c>
      <c r="E49" s="7">
        <v>94</v>
      </c>
      <c r="F49" s="7">
        <v>76</v>
      </c>
      <c r="G49" s="7">
        <f t="shared" si="30"/>
        <v>0.80000000000000071</v>
      </c>
      <c r="H49" s="8">
        <f t="shared" si="31"/>
        <v>18</v>
      </c>
      <c r="L49" s="6"/>
      <c r="M49" s="7">
        <v>13</v>
      </c>
      <c r="N49" s="7">
        <v>12.2</v>
      </c>
      <c r="O49" s="7">
        <v>94</v>
      </c>
      <c r="P49" s="7">
        <v>63.5</v>
      </c>
      <c r="Q49" s="7">
        <f t="shared" si="32"/>
        <v>0.80000000000000071</v>
      </c>
      <c r="R49" s="8">
        <f t="shared" si="33"/>
        <v>30.5</v>
      </c>
      <c r="V49" s="6"/>
      <c r="W49" s="7">
        <v>13</v>
      </c>
      <c r="X49" s="7">
        <v>11.7</v>
      </c>
      <c r="Y49" s="7">
        <v>94</v>
      </c>
      <c r="Z49" s="7">
        <v>104.4</v>
      </c>
      <c r="AA49" s="7">
        <f t="shared" si="34"/>
        <v>1.3000000000000007</v>
      </c>
      <c r="AB49" s="8">
        <f t="shared" si="35"/>
        <v>10.400000000000006</v>
      </c>
      <c r="AG49" s="6"/>
      <c r="AH49" s="7">
        <v>13</v>
      </c>
      <c r="AI49" s="7"/>
      <c r="AJ49" s="7">
        <v>94</v>
      </c>
      <c r="AK49" s="7">
        <v>115.5</v>
      </c>
      <c r="AL49" s="7">
        <f t="shared" si="36"/>
        <v>13</v>
      </c>
      <c r="AM49" s="8">
        <f t="shared" si="37"/>
        <v>21.5</v>
      </c>
      <c r="AR49" s="6"/>
      <c r="AS49" s="7">
        <v>13</v>
      </c>
      <c r="AT49" s="7">
        <v>11.3</v>
      </c>
      <c r="AU49" s="7">
        <v>94</v>
      </c>
      <c r="AV49" s="7">
        <v>106</v>
      </c>
      <c r="AW49" s="7">
        <f t="shared" si="38"/>
        <v>1.6999999999999993</v>
      </c>
      <c r="AX49" s="8">
        <f t="shared" si="39"/>
        <v>12</v>
      </c>
    </row>
    <row r="50" spans="2:50" x14ac:dyDescent="0.25">
      <c r="B50" s="3" t="s">
        <v>29</v>
      </c>
      <c r="C50" s="4">
        <v>14.5</v>
      </c>
      <c r="D50" s="4">
        <v>13.9</v>
      </c>
      <c r="E50" s="4">
        <v>104</v>
      </c>
      <c r="F50" s="4">
        <v>98.2</v>
      </c>
      <c r="G50" s="4">
        <f t="shared" si="30"/>
        <v>0.59999999999999964</v>
      </c>
      <c r="H50" s="5">
        <f t="shared" si="31"/>
        <v>5.7999999999999972</v>
      </c>
      <c r="L50" s="3" t="s">
        <v>29</v>
      </c>
      <c r="M50" s="4">
        <v>14.5</v>
      </c>
      <c r="N50" s="4">
        <v>13.6</v>
      </c>
      <c r="O50" s="4">
        <v>104</v>
      </c>
      <c r="P50" s="4">
        <v>105</v>
      </c>
      <c r="Q50" s="4">
        <f t="shared" si="32"/>
        <v>0.90000000000000036</v>
      </c>
      <c r="R50" s="5">
        <f t="shared" si="33"/>
        <v>1</v>
      </c>
      <c r="V50" s="3" t="s">
        <v>29</v>
      </c>
      <c r="W50" s="4">
        <v>14.5</v>
      </c>
      <c r="X50" s="4">
        <v>13.9</v>
      </c>
      <c r="Y50" s="4">
        <v>104</v>
      </c>
      <c r="Z50" s="4">
        <v>105.8</v>
      </c>
      <c r="AA50" s="4">
        <f t="shared" si="34"/>
        <v>0.59999999999999964</v>
      </c>
      <c r="AB50" s="5">
        <f t="shared" si="35"/>
        <v>1.7999999999999972</v>
      </c>
      <c r="AG50" s="3" t="s">
        <v>29</v>
      </c>
      <c r="AH50" s="4">
        <v>14.5</v>
      </c>
      <c r="AI50" s="4"/>
      <c r="AJ50" s="4">
        <v>104</v>
      </c>
      <c r="AK50" s="4">
        <v>120</v>
      </c>
      <c r="AL50" s="4">
        <f t="shared" si="36"/>
        <v>14.5</v>
      </c>
      <c r="AM50" s="5">
        <f t="shared" si="37"/>
        <v>16</v>
      </c>
      <c r="AR50" s="3" t="s">
        <v>29</v>
      </c>
      <c r="AS50" s="4">
        <v>14.5</v>
      </c>
      <c r="AT50" s="4">
        <v>14</v>
      </c>
      <c r="AU50" s="4">
        <v>104</v>
      </c>
      <c r="AV50" s="4">
        <v>99.5</v>
      </c>
      <c r="AW50" s="4">
        <f t="shared" si="38"/>
        <v>0.5</v>
      </c>
      <c r="AX50" s="5">
        <f t="shared" si="39"/>
        <v>4.5</v>
      </c>
    </row>
    <row r="51" spans="2:50" x14ac:dyDescent="0.25">
      <c r="B51" s="6"/>
      <c r="C51" s="7">
        <v>11</v>
      </c>
      <c r="D51" s="7">
        <v>10.5</v>
      </c>
      <c r="E51" s="7">
        <v>98</v>
      </c>
      <c r="F51" s="7">
        <v>76.3</v>
      </c>
      <c r="G51" s="7">
        <f t="shared" si="30"/>
        <v>0.5</v>
      </c>
      <c r="H51" s="8">
        <f t="shared" si="31"/>
        <v>21.700000000000003</v>
      </c>
      <c r="L51" s="6"/>
      <c r="M51" s="7">
        <v>11</v>
      </c>
      <c r="N51" s="7">
        <v>11.9</v>
      </c>
      <c r="O51" s="7">
        <v>98</v>
      </c>
      <c r="P51" s="7">
        <v>61.5</v>
      </c>
      <c r="Q51" s="7">
        <f t="shared" si="32"/>
        <v>0.90000000000000036</v>
      </c>
      <c r="R51" s="8">
        <f t="shared" si="33"/>
        <v>36.5</v>
      </c>
      <c r="V51" s="6"/>
      <c r="W51" s="7">
        <v>11</v>
      </c>
      <c r="X51" s="7">
        <v>10.3</v>
      </c>
      <c r="Y51" s="7">
        <v>98</v>
      </c>
      <c r="Z51" s="7">
        <v>107.7</v>
      </c>
      <c r="AA51" s="7">
        <f t="shared" si="34"/>
        <v>0.69999999999999929</v>
      </c>
      <c r="AB51" s="8">
        <f t="shared" si="35"/>
        <v>9.7000000000000028</v>
      </c>
      <c r="AG51" s="6"/>
      <c r="AH51" s="7">
        <v>11</v>
      </c>
      <c r="AI51" s="7"/>
      <c r="AJ51" s="7">
        <v>98</v>
      </c>
      <c r="AK51" s="7">
        <v>219</v>
      </c>
      <c r="AL51" s="7">
        <f t="shared" si="36"/>
        <v>11</v>
      </c>
      <c r="AM51" s="8">
        <f t="shared" si="37"/>
        <v>121</v>
      </c>
      <c r="AR51" s="6"/>
      <c r="AS51" s="7">
        <v>11</v>
      </c>
      <c r="AT51" s="7">
        <v>10</v>
      </c>
      <c r="AU51" s="7">
        <v>98</v>
      </c>
      <c r="AV51" s="7">
        <v>86.5</v>
      </c>
      <c r="AW51" s="7">
        <f t="shared" si="38"/>
        <v>1</v>
      </c>
      <c r="AX51" s="8">
        <f t="shared" si="39"/>
        <v>11.5</v>
      </c>
    </row>
    <row r="52" spans="2:50" x14ac:dyDescent="0.25">
      <c r="B52" s="3" t="s">
        <v>40</v>
      </c>
      <c r="C52" s="4">
        <v>18</v>
      </c>
      <c r="D52" s="4">
        <v>18.3</v>
      </c>
      <c r="E52" s="4">
        <v>87</v>
      </c>
      <c r="F52" s="4">
        <v>44.5</v>
      </c>
      <c r="G52" s="4">
        <f t="shared" si="30"/>
        <v>0.30000000000000071</v>
      </c>
      <c r="H52" s="5">
        <f t="shared" si="31"/>
        <v>42.5</v>
      </c>
      <c r="L52" s="3" t="s">
        <v>40</v>
      </c>
      <c r="M52" s="4">
        <v>18</v>
      </c>
      <c r="N52" s="4">
        <v>17.899999999999999</v>
      </c>
      <c r="O52" s="4">
        <v>87</v>
      </c>
      <c r="P52" s="4">
        <v>71.599999999999994</v>
      </c>
      <c r="Q52" s="4">
        <f t="shared" si="32"/>
        <v>0.10000000000000142</v>
      </c>
      <c r="R52" s="5">
        <f t="shared" si="33"/>
        <v>15.400000000000006</v>
      </c>
      <c r="V52" s="3" t="s">
        <v>40</v>
      </c>
      <c r="W52" s="4">
        <v>18</v>
      </c>
      <c r="X52" s="4">
        <v>17.600000000000001</v>
      </c>
      <c r="Y52" s="4">
        <v>87</v>
      </c>
      <c r="Z52" s="4">
        <v>79.099999999999994</v>
      </c>
      <c r="AA52" s="4">
        <f t="shared" si="34"/>
        <v>0.39999999999999858</v>
      </c>
      <c r="AB52" s="5">
        <f t="shared" si="35"/>
        <v>7.9000000000000057</v>
      </c>
      <c r="AG52" s="3" t="s">
        <v>40</v>
      </c>
      <c r="AH52" s="4">
        <v>18</v>
      </c>
      <c r="AI52" s="4"/>
      <c r="AJ52" s="4">
        <v>87</v>
      </c>
      <c r="AK52" s="4">
        <v>66.5</v>
      </c>
      <c r="AL52" s="4">
        <f t="shared" si="36"/>
        <v>18</v>
      </c>
      <c r="AM52" s="5">
        <f t="shared" si="37"/>
        <v>20.5</v>
      </c>
      <c r="AR52" s="3" t="s">
        <v>40</v>
      </c>
      <c r="AS52" s="4">
        <v>18</v>
      </c>
      <c r="AT52" s="4">
        <v>17.61</v>
      </c>
      <c r="AU52" s="4">
        <v>87</v>
      </c>
      <c r="AV52" s="4">
        <v>40</v>
      </c>
      <c r="AW52" s="4">
        <f t="shared" si="38"/>
        <v>0.39000000000000057</v>
      </c>
      <c r="AX52" s="5">
        <f t="shared" si="39"/>
        <v>47</v>
      </c>
    </row>
    <row r="53" spans="2:50" x14ac:dyDescent="0.25">
      <c r="B53" s="12"/>
      <c r="C53">
        <v>8.8000000000000007</v>
      </c>
      <c r="D53">
        <v>8.3000000000000007</v>
      </c>
      <c r="E53">
        <v>74</v>
      </c>
      <c r="F53">
        <v>72.400000000000006</v>
      </c>
      <c r="G53">
        <f t="shared" si="30"/>
        <v>0.5</v>
      </c>
      <c r="H53" s="13">
        <f t="shared" si="31"/>
        <v>1.5999999999999943</v>
      </c>
      <c r="L53" s="12"/>
      <c r="M53">
        <v>8.8000000000000007</v>
      </c>
      <c r="N53">
        <v>9.3000000000000007</v>
      </c>
      <c r="O53">
        <v>74</v>
      </c>
      <c r="P53">
        <v>59.2</v>
      </c>
      <c r="Q53">
        <f t="shared" si="32"/>
        <v>0.5</v>
      </c>
      <c r="R53" s="13">
        <f t="shared" si="33"/>
        <v>14.799999999999997</v>
      </c>
      <c r="V53" s="12"/>
      <c r="W53">
        <v>8.8000000000000007</v>
      </c>
      <c r="X53">
        <v>8.1999999999999993</v>
      </c>
      <c r="Y53">
        <v>74</v>
      </c>
      <c r="Z53">
        <v>92</v>
      </c>
      <c r="AA53">
        <f t="shared" si="34"/>
        <v>0.60000000000000142</v>
      </c>
      <c r="AB53" s="13">
        <f t="shared" si="35"/>
        <v>18</v>
      </c>
      <c r="AG53" s="12"/>
      <c r="AH53">
        <v>8.8000000000000007</v>
      </c>
      <c r="AJ53">
        <v>74</v>
      </c>
      <c r="AK53">
        <v>192.5</v>
      </c>
      <c r="AL53">
        <f t="shared" si="36"/>
        <v>8.8000000000000007</v>
      </c>
      <c r="AM53" s="13">
        <f t="shared" si="37"/>
        <v>118.5</v>
      </c>
      <c r="AR53" s="12"/>
      <c r="AS53">
        <v>8.8000000000000007</v>
      </c>
      <c r="AT53">
        <v>8.6</v>
      </c>
      <c r="AU53">
        <v>74</v>
      </c>
      <c r="AV53">
        <v>60.6</v>
      </c>
      <c r="AW53">
        <f t="shared" si="38"/>
        <v>0.20000000000000107</v>
      </c>
      <c r="AX53" s="13">
        <f t="shared" si="39"/>
        <v>13.399999999999999</v>
      </c>
    </row>
    <row r="54" spans="2:50" x14ac:dyDescent="0.25">
      <c r="B54" s="6"/>
      <c r="C54" s="7">
        <v>8.8000000000000007</v>
      </c>
      <c r="D54" s="7">
        <v>9</v>
      </c>
      <c r="E54" s="7">
        <v>91</v>
      </c>
      <c r="F54" s="7">
        <v>81</v>
      </c>
      <c r="G54" s="7">
        <f t="shared" si="30"/>
        <v>0.19999999999999929</v>
      </c>
      <c r="H54" s="8">
        <f t="shared" si="31"/>
        <v>10</v>
      </c>
      <c r="L54" s="6"/>
      <c r="M54" s="7">
        <v>8.8000000000000007</v>
      </c>
      <c r="N54" s="7">
        <v>8.6</v>
      </c>
      <c r="O54" s="7">
        <v>91</v>
      </c>
      <c r="P54" s="7">
        <v>64.8</v>
      </c>
      <c r="Q54" s="7">
        <f t="shared" si="32"/>
        <v>0.20000000000000107</v>
      </c>
      <c r="R54" s="8">
        <f t="shared" si="33"/>
        <v>26.200000000000003</v>
      </c>
      <c r="V54" s="6"/>
      <c r="W54" s="7">
        <v>8.8000000000000007</v>
      </c>
      <c r="X54" s="7">
        <v>7</v>
      </c>
      <c r="Y54" s="7">
        <v>91</v>
      </c>
      <c r="Z54" s="7">
        <v>93.2</v>
      </c>
      <c r="AA54" s="7">
        <f t="shared" si="34"/>
        <v>1.8000000000000007</v>
      </c>
      <c r="AB54" s="8">
        <f t="shared" si="35"/>
        <v>2.2000000000000028</v>
      </c>
      <c r="AG54" s="6"/>
      <c r="AH54" s="7">
        <v>8.8000000000000007</v>
      </c>
      <c r="AI54" s="7"/>
      <c r="AJ54" s="7">
        <v>91</v>
      </c>
      <c r="AK54" s="7">
        <v>116.6</v>
      </c>
      <c r="AL54" s="7">
        <f t="shared" si="36"/>
        <v>8.8000000000000007</v>
      </c>
      <c r="AM54" s="8">
        <f t="shared" si="37"/>
        <v>25.599999999999994</v>
      </c>
      <c r="AR54" s="6"/>
      <c r="AS54" s="7">
        <v>8.8000000000000007</v>
      </c>
      <c r="AT54" s="7">
        <v>7.1</v>
      </c>
      <c r="AU54" s="7">
        <v>91</v>
      </c>
      <c r="AV54" s="7">
        <v>88.8</v>
      </c>
      <c r="AW54" s="7">
        <f t="shared" si="38"/>
        <v>1.7000000000000011</v>
      </c>
      <c r="AX54" s="8">
        <f t="shared" si="39"/>
        <v>2.2000000000000028</v>
      </c>
    </row>
    <row r="55" spans="2:50" x14ac:dyDescent="0.25">
      <c r="B55" s="3" t="s">
        <v>32</v>
      </c>
      <c r="C55" s="4">
        <v>16</v>
      </c>
      <c r="D55" s="4">
        <v>15.6</v>
      </c>
      <c r="E55" s="4">
        <v>93</v>
      </c>
      <c r="F55" s="4">
        <v>95.7</v>
      </c>
      <c r="G55" s="4">
        <f t="shared" ref="G55:G82" si="40">ABS(C55-D55)</f>
        <v>0.40000000000000036</v>
      </c>
      <c r="H55" s="5">
        <f t="shared" ref="H55:H74" si="41">ABS(E55-F55)</f>
        <v>2.7000000000000028</v>
      </c>
      <c r="L55" s="3" t="s">
        <v>32</v>
      </c>
      <c r="M55" s="4">
        <v>16</v>
      </c>
      <c r="N55" s="4">
        <v>15.2</v>
      </c>
      <c r="O55" s="4">
        <v>93</v>
      </c>
      <c r="P55" s="4">
        <v>106</v>
      </c>
      <c r="Q55" s="4">
        <f t="shared" ref="Q55:Q82" si="42">ABS(M55-N55)</f>
        <v>0.80000000000000071</v>
      </c>
      <c r="R55" s="5">
        <f t="shared" ref="R55:R74" si="43">ABS(O55-P55)</f>
        <v>13</v>
      </c>
      <c r="V55" s="3" t="s">
        <v>32</v>
      </c>
      <c r="W55" s="4">
        <v>16</v>
      </c>
      <c r="X55" s="4">
        <v>15.2</v>
      </c>
      <c r="Y55" s="4">
        <v>93</v>
      </c>
      <c r="Z55" s="4">
        <v>106.6</v>
      </c>
      <c r="AA55" s="4">
        <f t="shared" ref="AA55:AA82" si="44">ABS(W55-X55)</f>
        <v>0.80000000000000071</v>
      </c>
      <c r="AB55" s="5">
        <f t="shared" ref="AB55:AB74" si="45">ABS(Y55-Z55)</f>
        <v>13.599999999999994</v>
      </c>
      <c r="AG55" s="3" t="s">
        <v>32</v>
      </c>
      <c r="AH55" s="4">
        <v>16</v>
      </c>
      <c r="AI55" s="4"/>
      <c r="AJ55" s="4">
        <v>93</v>
      </c>
      <c r="AK55" s="4">
        <v>133</v>
      </c>
      <c r="AL55" s="4">
        <f t="shared" ref="AL55:AL82" si="46">ABS(AH55-AI55)</f>
        <v>16</v>
      </c>
      <c r="AM55" s="5">
        <f t="shared" ref="AM55:AM74" si="47">ABS(AJ55-AK55)</f>
        <v>40</v>
      </c>
      <c r="AR55" s="3" t="s">
        <v>32</v>
      </c>
      <c r="AS55" s="4">
        <v>16</v>
      </c>
      <c r="AT55" s="4">
        <v>15.2</v>
      </c>
      <c r="AU55" s="4">
        <v>93</v>
      </c>
      <c r="AV55" s="4">
        <v>107.3</v>
      </c>
      <c r="AW55" s="4">
        <f t="shared" ref="AW55:AW82" si="48">ABS(AS55-AT55)</f>
        <v>0.80000000000000071</v>
      </c>
      <c r="AX55" s="5">
        <f t="shared" ref="AX55:AX74" si="49">ABS(AU55-AV55)</f>
        <v>14.299999999999997</v>
      </c>
    </row>
    <row r="56" spans="2:50" x14ac:dyDescent="0.25">
      <c r="B56" s="12"/>
      <c r="C56">
        <v>11.6</v>
      </c>
      <c r="D56">
        <v>10.8</v>
      </c>
      <c r="E56">
        <v>69</v>
      </c>
      <c r="F56">
        <v>64</v>
      </c>
      <c r="G56">
        <f t="shared" si="40"/>
        <v>0.79999999999999893</v>
      </c>
      <c r="H56" s="13">
        <f t="shared" si="41"/>
        <v>5</v>
      </c>
      <c r="L56" s="12"/>
      <c r="M56">
        <v>11.6</v>
      </c>
      <c r="N56">
        <v>10.5</v>
      </c>
      <c r="O56">
        <v>69</v>
      </c>
      <c r="P56">
        <v>80</v>
      </c>
      <c r="Q56">
        <f t="shared" si="42"/>
        <v>1.0999999999999996</v>
      </c>
      <c r="R56" s="13">
        <f t="shared" si="43"/>
        <v>11</v>
      </c>
      <c r="V56" s="12"/>
      <c r="W56">
        <v>11.6</v>
      </c>
      <c r="X56">
        <v>10.5</v>
      </c>
      <c r="Y56">
        <v>69</v>
      </c>
      <c r="Z56">
        <v>83.2</v>
      </c>
      <c r="AA56">
        <f t="shared" si="44"/>
        <v>1.0999999999999996</v>
      </c>
      <c r="AB56" s="13">
        <f t="shared" si="45"/>
        <v>14.200000000000003</v>
      </c>
      <c r="AG56" s="12"/>
      <c r="AH56">
        <v>11.6</v>
      </c>
      <c r="AJ56">
        <v>69</v>
      </c>
      <c r="AK56">
        <v>74.5</v>
      </c>
      <c r="AL56">
        <f t="shared" si="46"/>
        <v>11.6</v>
      </c>
      <c r="AM56" s="13">
        <f t="shared" si="47"/>
        <v>5.5</v>
      </c>
      <c r="AR56" s="12"/>
      <c r="AS56">
        <v>11.6</v>
      </c>
      <c r="AT56">
        <v>11</v>
      </c>
      <c r="AU56">
        <v>69</v>
      </c>
      <c r="AV56">
        <v>55.8</v>
      </c>
      <c r="AW56">
        <f t="shared" si="48"/>
        <v>0.59999999999999964</v>
      </c>
      <c r="AX56" s="13">
        <f t="shared" si="49"/>
        <v>13.200000000000003</v>
      </c>
    </row>
    <row r="57" spans="2:50" x14ac:dyDescent="0.25">
      <c r="B57" s="6"/>
      <c r="C57" s="7">
        <v>12.4</v>
      </c>
      <c r="D57" s="7">
        <v>12.2</v>
      </c>
      <c r="E57" s="7">
        <v>77</v>
      </c>
      <c r="F57" s="7">
        <v>65.8</v>
      </c>
      <c r="G57" s="7">
        <f t="shared" si="40"/>
        <v>0.20000000000000107</v>
      </c>
      <c r="H57" s="8">
        <f t="shared" si="41"/>
        <v>11.200000000000003</v>
      </c>
      <c r="L57" s="6"/>
      <c r="M57" s="7">
        <v>12.4</v>
      </c>
      <c r="N57" s="7">
        <v>12.9</v>
      </c>
      <c r="O57" s="7">
        <v>77</v>
      </c>
      <c r="P57" s="7">
        <v>72</v>
      </c>
      <c r="Q57" s="7">
        <f t="shared" si="42"/>
        <v>0.5</v>
      </c>
      <c r="R57" s="8">
        <f t="shared" si="43"/>
        <v>5</v>
      </c>
      <c r="V57" s="6"/>
      <c r="W57" s="7">
        <v>12.4</v>
      </c>
      <c r="X57" s="7">
        <v>12.8</v>
      </c>
      <c r="Y57" s="7">
        <v>77</v>
      </c>
      <c r="Z57" s="7">
        <v>92</v>
      </c>
      <c r="AA57" s="7">
        <f t="shared" si="44"/>
        <v>0.40000000000000036</v>
      </c>
      <c r="AB57" s="8">
        <f t="shared" si="45"/>
        <v>15</v>
      </c>
      <c r="AG57" s="6"/>
      <c r="AH57" s="7">
        <v>12.4</v>
      </c>
      <c r="AI57" s="7"/>
      <c r="AJ57" s="7">
        <v>77</v>
      </c>
      <c r="AK57" s="7">
        <v>67.5</v>
      </c>
      <c r="AL57" s="7">
        <f t="shared" si="46"/>
        <v>12.4</v>
      </c>
      <c r="AM57" s="8">
        <f t="shared" si="47"/>
        <v>9.5</v>
      </c>
      <c r="AR57" s="6"/>
      <c r="AS57" s="7">
        <v>12.4</v>
      </c>
      <c r="AT57" s="7">
        <v>12.2</v>
      </c>
      <c r="AU57" s="7">
        <v>77</v>
      </c>
      <c r="AV57" s="7">
        <v>66.2</v>
      </c>
      <c r="AW57" s="7">
        <f t="shared" si="48"/>
        <v>0.20000000000000107</v>
      </c>
      <c r="AX57" s="8">
        <f t="shared" si="49"/>
        <v>10.799999999999997</v>
      </c>
    </row>
    <row r="58" spans="2:50" x14ac:dyDescent="0.25">
      <c r="B58" s="3" t="s">
        <v>33</v>
      </c>
      <c r="C58" s="4">
        <v>10.4</v>
      </c>
      <c r="D58" s="4">
        <v>10.1</v>
      </c>
      <c r="E58" s="4">
        <v>75</v>
      </c>
      <c r="F58" s="4">
        <v>67.2</v>
      </c>
      <c r="G58" s="4">
        <f t="shared" si="40"/>
        <v>0.30000000000000071</v>
      </c>
      <c r="H58" s="5">
        <f t="shared" si="41"/>
        <v>7.7999999999999972</v>
      </c>
      <c r="L58" s="3" t="s">
        <v>33</v>
      </c>
      <c r="M58" s="4">
        <v>10.4</v>
      </c>
      <c r="N58" s="4">
        <v>10</v>
      </c>
      <c r="O58" s="4">
        <v>75</v>
      </c>
      <c r="P58" s="4">
        <v>67.599999999999994</v>
      </c>
      <c r="Q58" s="4">
        <f t="shared" si="42"/>
        <v>0.40000000000000036</v>
      </c>
      <c r="R58" s="5">
        <f t="shared" si="43"/>
        <v>7.4000000000000057</v>
      </c>
      <c r="V58" s="3" t="s">
        <v>33</v>
      </c>
      <c r="W58" s="4">
        <v>10.4</v>
      </c>
      <c r="X58" s="4">
        <v>10.5</v>
      </c>
      <c r="Y58" s="4">
        <v>75</v>
      </c>
      <c r="Z58" s="4">
        <v>76.599999999999994</v>
      </c>
      <c r="AA58" s="4">
        <f t="shared" si="44"/>
        <v>9.9999999999999645E-2</v>
      </c>
      <c r="AB58" s="5">
        <f t="shared" si="45"/>
        <v>1.5999999999999943</v>
      </c>
      <c r="AG58" s="3" t="s">
        <v>33</v>
      </c>
      <c r="AH58" s="4">
        <v>10.4</v>
      </c>
      <c r="AI58" s="4"/>
      <c r="AJ58" s="4">
        <v>75</v>
      </c>
      <c r="AK58" s="4">
        <v>71</v>
      </c>
      <c r="AL58" s="4">
        <f t="shared" si="46"/>
        <v>10.4</v>
      </c>
      <c r="AM58" s="5">
        <f t="shared" si="47"/>
        <v>4</v>
      </c>
      <c r="AR58" s="3" t="s">
        <v>33</v>
      </c>
      <c r="AS58" s="4">
        <v>10.4</v>
      </c>
      <c r="AT58" s="4">
        <v>10.199999999999999</v>
      </c>
      <c r="AU58" s="4">
        <v>75</v>
      </c>
      <c r="AV58" s="4">
        <v>69</v>
      </c>
      <c r="AW58" s="4">
        <f t="shared" si="48"/>
        <v>0.20000000000000107</v>
      </c>
      <c r="AX58" s="5">
        <f t="shared" si="49"/>
        <v>6</v>
      </c>
    </row>
    <row r="59" spans="2:50" x14ac:dyDescent="0.25">
      <c r="B59" s="12"/>
      <c r="C59">
        <v>9.6</v>
      </c>
      <c r="D59">
        <v>8.9</v>
      </c>
      <c r="E59">
        <v>92</v>
      </c>
      <c r="F59">
        <v>82.3</v>
      </c>
      <c r="G59">
        <f t="shared" si="40"/>
        <v>0.69999999999999929</v>
      </c>
      <c r="H59" s="13">
        <f t="shared" si="41"/>
        <v>9.7000000000000028</v>
      </c>
      <c r="L59" s="12"/>
      <c r="M59">
        <v>9.6</v>
      </c>
      <c r="N59">
        <v>9.5</v>
      </c>
      <c r="O59">
        <v>92</v>
      </c>
      <c r="P59">
        <v>98</v>
      </c>
      <c r="Q59">
        <f t="shared" si="42"/>
        <v>9.9999999999999645E-2</v>
      </c>
      <c r="R59" s="13">
        <f t="shared" si="43"/>
        <v>6</v>
      </c>
      <c r="V59" s="12"/>
      <c r="W59">
        <v>9.6</v>
      </c>
      <c r="X59">
        <v>8.1999999999999993</v>
      </c>
      <c r="Y59">
        <v>92</v>
      </c>
      <c r="Z59">
        <v>96.4</v>
      </c>
      <c r="AA59">
        <f t="shared" si="44"/>
        <v>1.4000000000000004</v>
      </c>
      <c r="AB59" s="13">
        <f t="shared" si="45"/>
        <v>4.4000000000000057</v>
      </c>
      <c r="AG59" s="12"/>
      <c r="AH59">
        <v>9.6</v>
      </c>
      <c r="AJ59">
        <v>92</v>
      </c>
      <c r="AK59">
        <v>78.3</v>
      </c>
      <c r="AL59">
        <f t="shared" si="46"/>
        <v>9.6</v>
      </c>
      <c r="AM59" s="13">
        <f t="shared" si="47"/>
        <v>13.700000000000003</v>
      </c>
      <c r="AR59" s="12"/>
      <c r="AS59">
        <v>9.6</v>
      </c>
      <c r="AT59">
        <v>8.5</v>
      </c>
      <c r="AU59">
        <v>92</v>
      </c>
      <c r="AV59">
        <v>97.4</v>
      </c>
      <c r="AW59">
        <f t="shared" si="48"/>
        <v>1.0999999999999996</v>
      </c>
      <c r="AX59" s="13">
        <f t="shared" si="49"/>
        <v>5.4000000000000057</v>
      </c>
    </row>
    <row r="60" spans="2:50" x14ac:dyDescent="0.25">
      <c r="B60" s="6"/>
      <c r="C60" s="7">
        <v>10.4</v>
      </c>
      <c r="D60" s="7">
        <v>9.6999999999999993</v>
      </c>
      <c r="E60" s="7">
        <v>72</v>
      </c>
      <c r="F60" s="7">
        <v>65.5</v>
      </c>
      <c r="G60" s="7">
        <f t="shared" si="40"/>
        <v>0.70000000000000107</v>
      </c>
      <c r="H60" s="8">
        <f t="shared" si="41"/>
        <v>6.5</v>
      </c>
      <c r="L60" s="6"/>
      <c r="M60" s="7">
        <v>10.4</v>
      </c>
      <c r="N60" s="7">
        <v>9.8000000000000007</v>
      </c>
      <c r="O60" s="7">
        <v>72</v>
      </c>
      <c r="P60" s="7">
        <v>72</v>
      </c>
      <c r="Q60" s="7">
        <f t="shared" si="42"/>
        <v>0.59999999999999964</v>
      </c>
      <c r="R60" s="8">
        <f t="shared" si="43"/>
        <v>0</v>
      </c>
      <c r="V60" s="6"/>
      <c r="W60" s="7">
        <v>10.4</v>
      </c>
      <c r="X60" s="7">
        <v>9.4</v>
      </c>
      <c r="Y60" s="7">
        <v>72</v>
      </c>
      <c r="Z60" s="7">
        <v>82.9</v>
      </c>
      <c r="AA60" s="7">
        <f t="shared" si="44"/>
        <v>1</v>
      </c>
      <c r="AB60" s="8">
        <f t="shared" si="45"/>
        <v>10.900000000000006</v>
      </c>
      <c r="AG60" s="6"/>
      <c r="AH60" s="7">
        <v>10.4</v>
      </c>
      <c r="AI60" s="7"/>
      <c r="AJ60" s="7">
        <v>72</v>
      </c>
      <c r="AK60" s="7">
        <v>159</v>
      </c>
      <c r="AL60" s="7">
        <f t="shared" si="46"/>
        <v>10.4</v>
      </c>
      <c r="AM60" s="8">
        <f t="shared" si="47"/>
        <v>87</v>
      </c>
      <c r="AR60" s="6"/>
      <c r="AS60" s="7">
        <v>10.4</v>
      </c>
      <c r="AT60" s="7">
        <v>9.6</v>
      </c>
      <c r="AU60" s="7">
        <v>72</v>
      </c>
      <c r="AV60" s="7">
        <v>84.6</v>
      </c>
      <c r="AW60" s="7">
        <f t="shared" si="48"/>
        <v>0.80000000000000071</v>
      </c>
      <c r="AX60" s="8">
        <f t="shared" si="49"/>
        <v>12.599999999999994</v>
      </c>
    </row>
    <row r="61" spans="2:50" x14ac:dyDescent="0.25">
      <c r="B61" s="3" t="s">
        <v>34</v>
      </c>
      <c r="C61" s="4">
        <v>10.4</v>
      </c>
      <c r="D61" s="4">
        <v>9.1999999999999993</v>
      </c>
      <c r="E61" s="4">
        <v>95</v>
      </c>
      <c r="F61" s="4">
        <v>81.2</v>
      </c>
      <c r="G61" s="4">
        <f t="shared" si="40"/>
        <v>1.2000000000000011</v>
      </c>
      <c r="H61" s="5">
        <f t="shared" si="41"/>
        <v>13.799999999999997</v>
      </c>
      <c r="L61" s="3" t="s">
        <v>34</v>
      </c>
      <c r="M61" s="4">
        <v>10.4</v>
      </c>
      <c r="N61" s="4">
        <v>9.9</v>
      </c>
      <c r="O61" s="4">
        <v>95</v>
      </c>
      <c r="P61" s="4">
        <v>64.8</v>
      </c>
      <c r="Q61" s="4">
        <f t="shared" si="42"/>
        <v>0.5</v>
      </c>
      <c r="R61" s="5">
        <f t="shared" si="43"/>
        <v>30.200000000000003</v>
      </c>
      <c r="V61" s="3" t="s">
        <v>34</v>
      </c>
      <c r="W61" s="4">
        <v>10.4</v>
      </c>
      <c r="X61" s="4">
        <v>10.3</v>
      </c>
      <c r="Y61" s="4">
        <v>95</v>
      </c>
      <c r="Z61" s="4">
        <v>95.8</v>
      </c>
      <c r="AA61" s="4">
        <f t="shared" si="44"/>
        <v>9.9999999999999645E-2</v>
      </c>
      <c r="AB61" s="5">
        <f t="shared" si="45"/>
        <v>0.79999999999999716</v>
      </c>
      <c r="AG61" s="3" t="s">
        <v>34</v>
      </c>
      <c r="AH61" s="4">
        <v>10.4</v>
      </c>
      <c r="AI61" s="4"/>
      <c r="AJ61" s="4">
        <v>95</v>
      </c>
      <c r="AK61" s="4">
        <v>76.3</v>
      </c>
      <c r="AL61" s="4">
        <f t="shared" si="46"/>
        <v>10.4</v>
      </c>
      <c r="AM61" s="5">
        <f t="shared" si="47"/>
        <v>18.700000000000003</v>
      </c>
      <c r="AR61" s="3" t="s">
        <v>34</v>
      </c>
      <c r="AS61" s="4">
        <v>10.4</v>
      </c>
      <c r="AT61" s="4">
        <v>10</v>
      </c>
      <c r="AU61" s="4">
        <v>95</v>
      </c>
      <c r="AV61" s="4">
        <v>88.5</v>
      </c>
      <c r="AW61" s="4">
        <f t="shared" si="48"/>
        <v>0.40000000000000036</v>
      </c>
      <c r="AX61" s="5">
        <f t="shared" si="49"/>
        <v>6.5</v>
      </c>
    </row>
    <row r="62" spans="2:50" x14ac:dyDescent="0.25">
      <c r="B62" s="12"/>
      <c r="C62">
        <v>10.4</v>
      </c>
      <c r="D62">
        <v>10.4</v>
      </c>
      <c r="E62">
        <v>72</v>
      </c>
      <c r="F62">
        <v>72.8</v>
      </c>
      <c r="G62">
        <f t="shared" si="40"/>
        <v>0</v>
      </c>
      <c r="H62" s="13">
        <f t="shared" si="41"/>
        <v>0.79999999999999716</v>
      </c>
      <c r="L62" s="12"/>
      <c r="M62">
        <v>10.4</v>
      </c>
      <c r="N62">
        <v>9.6999999999999993</v>
      </c>
      <c r="O62">
        <v>72</v>
      </c>
      <c r="P62">
        <v>64.400000000000006</v>
      </c>
      <c r="Q62">
        <f t="shared" si="42"/>
        <v>0.70000000000000107</v>
      </c>
      <c r="R62" s="13">
        <f t="shared" si="43"/>
        <v>7.5999999999999943</v>
      </c>
      <c r="V62" s="12"/>
      <c r="W62">
        <v>10.4</v>
      </c>
      <c r="X62">
        <v>9.4</v>
      </c>
      <c r="Y62">
        <v>72</v>
      </c>
      <c r="Z62">
        <v>92.3</v>
      </c>
      <c r="AA62">
        <f t="shared" si="44"/>
        <v>1</v>
      </c>
      <c r="AB62" s="13">
        <f t="shared" si="45"/>
        <v>20.299999999999997</v>
      </c>
      <c r="AG62" s="12"/>
      <c r="AH62">
        <v>10.4</v>
      </c>
      <c r="AJ62">
        <v>72</v>
      </c>
      <c r="AK62">
        <v>72</v>
      </c>
      <c r="AL62">
        <f t="shared" si="46"/>
        <v>10.4</v>
      </c>
      <c r="AM62" s="13">
        <f t="shared" si="47"/>
        <v>0</v>
      </c>
      <c r="AR62" s="12"/>
      <c r="AS62">
        <v>10.4</v>
      </c>
      <c r="AT62">
        <v>10</v>
      </c>
      <c r="AU62">
        <v>72</v>
      </c>
      <c r="AV62">
        <v>74.900000000000006</v>
      </c>
      <c r="AW62">
        <f t="shared" si="48"/>
        <v>0.40000000000000036</v>
      </c>
      <c r="AX62" s="13">
        <f t="shared" si="49"/>
        <v>2.9000000000000057</v>
      </c>
    </row>
    <row r="63" spans="2:50" x14ac:dyDescent="0.25">
      <c r="B63" s="6"/>
      <c r="C63" s="7">
        <v>11.2</v>
      </c>
      <c r="D63">
        <v>10.9</v>
      </c>
      <c r="E63" s="7">
        <v>79</v>
      </c>
      <c r="F63" s="7">
        <v>69</v>
      </c>
      <c r="G63" s="7">
        <f t="shared" si="40"/>
        <v>0.29999999999999893</v>
      </c>
      <c r="H63" s="8">
        <f t="shared" si="41"/>
        <v>10</v>
      </c>
      <c r="L63" s="6"/>
      <c r="M63" s="7">
        <v>11.2</v>
      </c>
      <c r="N63">
        <v>10.3</v>
      </c>
      <c r="O63" s="7">
        <v>79</v>
      </c>
      <c r="P63" s="7">
        <v>75.5</v>
      </c>
      <c r="Q63" s="7">
        <f t="shared" si="42"/>
        <v>0.89999999999999858</v>
      </c>
      <c r="R63" s="8">
        <f t="shared" si="43"/>
        <v>3.5</v>
      </c>
      <c r="V63" s="6"/>
      <c r="W63" s="7">
        <v>11.2</v>
      </c>
      <c r="X63">
        <v>10.5</v>
      </c>
      <c r="Y63" s="7">
        <v>79</v>
      </c>
      <c r="Z63" s="7">
        <v>81.7</v>
      </c>
      <c r="AA63" s="7">
        <f t="shared" si="44"/>
        <v>0.69999999999999929</v>
      </c>
      <c r="AB63" s="8">
        <f t="shared" si="45"/>
        <v>2.7000000000000028</v>
      </c>
      <c r="AG63" s="6"/>
      <c r="AH63" s="7">
        <v>11.2</v>
      </c>
      <c r="AJ63" s="7">
        <v>79</v>
      </c>
      <c r="AK63" s="7">
        <v>121</v>
      </c>
      <c r="AL63" s="7">
        <f t="shared" si="46"/>
        <v>11.2</v>
      </c>
      <c r="AM63" s="8">
        <f t="shared" si="47"/>
        <v>42</v>
      </c>
      <c r="AR63" s="6"/>
      <c r="AS63" s="7">
        <v>11.2</v>
      </c>
      <c r="AT63">
        <v>11.2</v>
      </c>
      <c r="AU63" s="7">
        <v>79</v>
      </c>
      <c r="AV63" s="7">
        <v>67.3</v>
      </c>
      <c r="AW63" s="7">
        <f t="shared" si="48"/>
        <v>0</v>
      </c>
      <c r="AX63" s="8">
        <f t="shared" si="49"/>
        <v>11.700000000000003</v>
      </c>
    </row>
    <row r="64" spans="2:50" x14ac:dyDescent="0.25">
      <c r="B64" s="3" t="s">
        <v>35</v>
      </c>
      <c r="C64" s="4">
        <v>10</v>
      </c>
      <c r="D64" s="4">
        <v>8.6</v>
      </c>
      <c r="E64" s="4">
        <v>75</v>
      </c>
      <c r="F64" s="4">
        <v>76.400000000000006</v>
      </c>
      <c r="G64" s="4">
        <f t="shared" si="40"/>
        <v>1.4000000000000004</v>
      </c>
      <c r="H64" s="5">
        <f t="shared" si="41"/>
        <v>1.4000000000000057</v>
      </c>
      <c r="L64" s="3" t="s">
        <v>35</v>
      </c>
      <c r="M64" s="4">
        <v>10</v>
      </c>
      <c r="N64" s="4">
        <v>9.5</v>
      </c>
      <c r="O64" s="4">
        <v>75</v>
      </c>
      <c r="P64" s="4">
        <v>89.2</v>
      </c>
      <c r="Q64" s="4">
        <f t="shared" si="42"/>
        <v>0.5</v>
      </c>
      <c r="R64" s="5">
        <f t="shared" si="43"/>
        <v>14.200000000000003</v>
      </c>
      <c r="V64" s="3" t="s">
        <v>35</v>
      </c>
      <c r="W64" s="4">
        <v>10</v>
      </c>
      <c r="X64" s="4">
        <v>8.1999999999999993</v>
      </c>
      <c r="Y64" s="4">
        <v>75</v>
      </c>
      <c r="Z64" s="4">
        <v>91.7</v>
      </c>
      <c r="AA64" s="4">
        <f t="shared" si="44"/>
        <v>1.8000000000000007</v>
      </c>
      <c r="AB64" s="5">
        <f t="shared" si="45"/>
        <v>16.700000000000003</v>
      </c>
      <c r="AG64" s="3" t="s">
        <v>35</v>
      </c>
      <c r="AH64" s="4">
        <v>10</v>
      </c>
      <c r="AI64" s="4"/>
      <c r="AJ64" s="4">
        <v>75</v>
      </c>
      <c r="AK64" s="4">
        <v>111</v>
      </c>
      <c r="AL64" s="4">
        <f t="shared" si="46"/>
        <v>10</v>
      </c>
      <c r="AM64" s="5">
        <f t="shared" si="47"/>
        <v>36</v>
      </c>
      <c r="AR64" s="3" t="s">
        <v>35</v>
      </c>
      <c r="AS64" s="4">
        <v>10</v>
      </c>
      <c r="AT64" s="4">
        <v>9.4</v>
      </c>
      <c r="AU64" s="4">
        <v>75</v>
      </c>
      <c r="AV64" s="4">
        <v>72.599999999999994</v>
      </c>
      <c r="AW64" s="4">
        <f t="shared" si="48"/>
        <v>0.59999999999999964</v>
      </c>
      <c r="AX64" s="5">
        <f t="shared" si="49"/>
        <v>2.4000000000000057</v>
      </c>
    </row>
    <row r="65" spans="2:50" x14ac:dyDescent="0.25">
      <c r="B65" s="12"/>
      <c r="C65">
        <v>10</v>
      </c>
      <c r="D65">
        <v>10</v>
      </c>
      <c r="E65">
        <v>67</v>
      </c>
      <c r="F65">
        <v>78.099999999999994</v>
      </c>
      <c r="G65">
        <f t="shared" si="40"/>
        <v>0</v>
      </c>
      <c r="H65" s="13">
        <f t="shared" si="41"/>
        <v>11.099999999999994</v>
      </c>
      <c r="L65" s="12"/>
      <c r="M65">
        <v>10</v>
      </c>
      <c r="N65">
        <v>10</v>
      </c>
      <c r="O65">
        <v>67</v>
      </c>
      <c r="P65">
        <v>52.8</v>
      </c>
      <c r="Q65">
        <f t="shared" si="42"/>
        <v>0</v>
      </c>
      <c r="R65" s="13">
        <f t="shared" si="43"/>
        <v>14.200000000000003</v>
      </c>
      <c r="V65" s="12"/>
      <c r="W65">
        <v>10</v>
      </c>
      <c r="X65">
        <v>10.5</v>
      </c>
      <c r="Y65">
        <v>67</v>
      </c>
      <c r="Z65">
        <v>90.8</v>
      </c>
      <c r="AA65">
        <f t="shared" si="44"/>
        <v>0.5</v>
      </c>
      <c r="AB65" s="13">
        <f t="shared" si="45"/>
        <v>23.799999999999997</v>
      </c>
      <c r="AG65" s="12"/>
      <c r="AH65">
        <v>10</v>
      </c>
      <c r="AJ65">
        <v>67</v>
      </c>
      <c r="AK65">
        <v>69.599999999999994</v>
      </c>
      <c r="AL65">
        <f t="shared" si="46"/>
        <v>10</v>
      </c>
      <c r="AM65" s="13">
        <f t="shared" si="47"/>
        <v>2.5999999999999943</v>
      </c>
      <c r="AR65" s="12"/>
      <c r="AS65">
        <v>10</v>
      </c>
      <c r="AT65">
        <v>10.199999999999999</v>
      </c>
      <c r="AU65">
        <v>67</v>
      </c>
      <c r="AV65">
        <v>67.099999999999994</v>
      </c>
      <c r="AW65">
        <f t="shared" si="48"/>
        <v>0.19999999999999929</v>
      </c>
      <c r="AX65" s="13">
        <f t="shared" si="49"/>
        <v>9.9999999999994316E-2</v>
      </c>
    </row>
    <row r="66" spans="2:50" x14ac:dyDescent="0.25">
      <c r="B66" s="6"/>
      <c r="C66" s="7">
        <v>10.4</v>
      </c>
      <c r="D66" s="7">
        <v>9.6</v>
      </c>
      <c r="E66" s="7">
        <v>91</v>
      </c>
      <c r="F66" s="7">
        <v>71</v>
      </c>
      <c r="G66" s="7">
        <f t="shared" si="40"/>
        <v>0.80000000000000071</v>
      </c>
      <c r="H66" s="8">
        <f t="shared" si="41"/>
        <v>20</v>
      </c>
      <c r="L66" s="6"/>
      <c r="M66" s="7">
        <v>10.4</v>
      </c>
      <c r="N66" s="7">
        <v>9.6</v>
      </c>
      <c r="O66" s="7">
        <v>91</v>
      </c>
      <c r="P66" s="7">
        <v>61.2</v>
      </c>
      <c r="Q66" s="7">
        <f t="shared" si="42"/>
        <v>0.80000000000000071</v>
      </c>
      <c r="R66" s="8">
        <f t="shared" si="43"/>
        <v>29.799999999999997</v>
      </c>
      <c r="V66" s="6"/>
      <c r="W66" s="7">
        <v>10.4</v>
      </c>
      <c r="X66" s="7">
        <v>8.8000000000000007</v>
      </c>
      <c r="Y66" s="7">
        <v>91</v>
      </c>
      <c r="Z66" s="7">
        <v>93.5</v>
      </c>
      <c r="AA66" s="7">
        <f t="shared" si="44"/>
        <v>1.5999999999999996</v>
      </c>
      <c r="AB66" s="8">
        <f t="shared" si="45"/>
        <v>2.5</v>
      </c>
      <c r="AG66" s="6"/>
      <c r="AH66" s="7">
        <v>10.4</v>
      </c>
      <c r="AI66" s="7"/>
      <c r="AJ66" s="7">
        <v>91</v>
      </c>
      <c r="AK66" s="7">
        <v>163</v>
      </c>
      <c r="AL66" s="7">
        <f t="shared" si="46"/>
        <v>10.4</v>
      </c>
      <c r="AM66" s="8">
        <f t="shared" si="47"/>
        <v>72</v>
      </c>
      <c r="AR66" s="6"/>
      <c r="AS66" s="7">
        <v>10.4</v>
      </c>
      <c r="AT66" s="7">
        <v>9.8000000000000007</v>
      </c>
      <c r="AU66" s="7">
        <v>91</v>
      </c>
      <c r="AV66" s="7">
        <v>75</v>
      </c>
      <c r="AW66" s="7">
        <f t="shared" si="48"/>
        <v>0.59999999999999964</v>
      </c>
      <c r="AX66" s="8">
        <f t="shared" si="49"/>
        <v>16</v>
      </c>
    </row>
    <row r="67" spans="2:50" x14ac:dyDescent="0.25">
      <c r="B67" s="3" t="s">
        <v>36</v>
      </c>
      <c r="C67" s="4">
        <v>11.6</v>
      </c>
      <c r="D67" s="4">
        <v>11.4</v>
      </c>
      <c r="E67" s="4">
        <v>92</v>
      </c>
      <c r="F67" s="4">
        <v>66.3</v>
      </c>
      <c r="G67" s="4">
        <f t="shared" si="40"/>
        <v>0.19999999999999929</v>
      </c>
      <c r="H67" s="5">
        <f t="shared" si="41"/>
        <v>25.700000000000003</v>
      </c>
      <c r="L67" s="3" t="s">
        <v>36</v>
      </c>
      <c r="M67" s="4">
        <v>11.6</v>
      </c>
      <c r="N67" s="4">
        <v>10.7</v>
      </c>
      <c r="O67" s="4">
        <v>92</v>
      </c>
      <c r="P67" s="4">
        <v>49.2</v>
      </c>
      <c r="Q67" s="4">
        <f t="shared" si="42"/>
        <v>0.90000000000000036</v>
      </c>
      <c r="R67" s="5">
        <f t="shared" si="43"/>
        <v>42.8</v>
      </c>
      <c r="V67" s="3" t="s">
        <v>36</v>
      </c>
      <c r="W67" s="4">
        <v>11.6</v>
      </c>
      <c r="X67" s="4">
        <v>11.7</v>
      </c>
      <c r="Y67" s="4">
        <v>92</v>
      </c>
      <c r="Z67" s="4">
        <v>83.2</v>
      </c>
      <c r="AA67" s="4">
        <f t="shared" si="44"/>
        <v>9.9999999999999645E-2</v>
      </c>
      <c r="AB67" s="5">
        <f t="shared" si="45"/>
        <v>8.7999999999999972</v>
      </c>
      <c r="AG67" s="3" t="s">
        <v>36</v>
      </c>
      <c r="AH67" s="4">
        <v>11.6</v>
      </c>
      <c r="AI67" s="4"/>
      <c r="AJ67" s="4">
        <v>92</v>
      </c>
      <c r="AK67" s="4">
        <v>234</v>
      </c>
      <c r="AL67" s="4">
        <f t="shared" si="46"/>
        <v>11.6</v>
      </c>
      <c r="AM67" s="5">
        <f t="shared" si="47"/>
        <v>142</v>
      </c>
      <c r="AR67" s="3" t="s">
        <v>36</v>
      </c>
      <c r="AS67" s="4">
        <v>11.6</v>
      </c>
      <c r="AT67" s="4">
        <v>11.4</v>
      </c>
      <c r="AU67" s="4">
        <v>92</v>
      </c>
      <c r="AV67" s="4">
        <v>62.9</v>
      </c>
      <c r="AW67" s="4">
        <f t="shared" si="48"/>
        <v>0.19999999999999929</v>
      </c>
      <c r="AX67" s="5">
        <f t="shared" si="49"/>
        <v>29.1</v>
      </c>
    </row>
    <row r="68" spans="2:50" x14ac:dyDescent="0.25">
      <c r="B68" s="12"/>
      <c r="C68">
        <v>10</v>
      </c>
      <c r="D68">
        <v>8.1999999999999993</v>
      </c>
      <c r="E68">
        <v>71</v>
      </c>
      <c r="F68">
        <v>69.400000000000006</v>
      </c>
      <c r="G68">
        <f t="shared" si="40"/>
        <v>1.8000000000000007</v>
      </c>
      <c r="H68" s="13">
        <f t="shared" si="41"/>
        <v>1.5999999999999943</v>
      </c>
      <c r="L68" s="12"/>
      <c r="M68">
        <v>10</v>
      </c>
      <c r="N68">
        <v>9.4</v>
      </c>
      <c r="O68">
        <v>71</v>
      </c>
      <c r="P68">
        <v>54</v>
      </c>
      <c r="Q68">
        <f t="shared" si="42"/>
        <v>0.59999999999999964</v>
      </c>
      <c r="R68" s="13">
        <f t="shared" si="43"/>
        <v>17</v>
      </c>
      <c r="V68" s="12"/>
      <c r="W68">
        <v>10</v>
      </c>
      <c r="X68">
        <v>8.1999999999999993</v>
      </c>
      <c r="Y68">
        <v>71</v>
      </c>
      <c r="Z68">
        <v>96.7</v>
      </c>
      <c r="AA68">
        <f t="shared" si="44"/>
        <v>1.8000000000000007</v>
      </c>
      <c r="AB68" s="13">
        <f t="shared" si="45"/>
        <v>25.700000000000003</v>
      </c>
      <c r="AG68" s="12"/>
      <c r="AH68">
        <v>10</v>
      </c>
      <c r="AJ68">
        <v>71</v>
      </c>
      <c r="AK68">
        <v>139</v>
      </c>
      <c r="AL68">
        <f t="shared" si="46"/>
        <v>10</v>
      </c>
      <c r="AM68" s="13">
        <f t="shared" si="47"/>
        <v>68</v>
      </c>
      <c r="AR68" s="12"/>
      <c r="AS68">
        <v>10</v>
      </c>
      <c r="AT68">
        <v>8</v>
      </c>
      <c r="AU68">
        <v>71</v>
      </c>
      <c r="AV68">
        <v>63.2</v>
      </c>
      <c r="AW68">
        <f t="shared" si="48"/>
        <v>2</v>
      </c>
      <c r="AX68" s="13">
        <f t="shared" si="49"/>
        <v>7.7999999999999972</v>
      </c>
    </row>
    <row r="69" spans="2:50" x14ac:dyDescent="0.25">
      <c r="B69" s="12"/>
      <c r="C69">
        <v>11.2</v>
      </c>
      <c r="D69">
        <v>11</v>
      </c>
      <c r="E69">
        <v>105</v>
      </c>
      <c r="F69">
        <v>62</v>
      </c>
      <c r="G69">
        <f t="shared" si="40"/>
        <v>0.19999999999999929</v>
      </c>
      <c r="H69" s="13">
        <f t="shared" si="41"/>
        <v>43</v>
      </c>
      <c r="L69" s="12"/>
      <c r="M69">
        <v>11.2</v>
      </c>
      <c r="N69">
        <v>10.4</v>
      </c>
      <c r="O69">
        <v>105</v>
      </c>
      <c r="P69">
        <v>62.8</v>
      </c>
      <c r="Q69">
        <f t="shared" si="42"/>
        <v>0.79999999999999893</v>
      </c>
      <c r="R69" s="13">
        <f t="shared" si="43"/>
        <v>42.2</v>
      </c>
      <c r="V69" s="12"/>
      <c r="W69">
        <v>11.2</v>
      </c>
      <c r="X69">
        <v>10.5</v>
      </c>
      <c r="Y69">
        <v>105</v>
      </c>
      <c r="Z69">
        <v>85</v>
      </c>
      <c r="AA69">
        <f t="shared" si="44"/>
        <v>0.69999999999999929</v>
      </c>
      <c r="AB69" s="13">
        <f t="shared" si="45"/>
        <v>20</v>
      </c>
      <c r="AG69" s="12"/>
      <c r="AH69">
        <v>11.2</v>
      </c>
      <c r="AJ69">
        <v>105</v>
      </c>
      <c r="AK69">
        <v>69.5</v>
      </c>
      <c r="AL69">
        <f t="shared" si="46"/>
        <v>11.2</v>
      </c>
      <c r="AM69" s="13">
        <f t="shared" si="47"/>
        <v>35.5</v>
      </c>
      <c r="AR69" s="12"/>
      <c r="AS69">
        <v>11.2</v>
      </c>
      <c r="AT69">
        <v>11.4</v>
      </c>
      <c r="AU69">
        <v>105</v>
      </c>
      <c r="AV69">
        <v>59.3</v>
      </c>
      <c r="AW69">
        <f t="shared" si="48"/>
        <v>0.20000000000000107</v>
      </c>
      <c r="AX69" s="13">
        <f t="shared" si="49"/>
        <v>45.7</v>
      </c>
    </row>
    <row r="70" spans="2:50" x14ac:dyDescent="0.25">
      <c r="B70" s="6"/>
      <c r="C70" s="7">
        <v>10.4</v>
      </c>
      <c r="D70" s="7">
        <v>10.7</v>
      </c>
      <c r="E70" s="7">
        <v>72</v>
      </c>
      <c r="F70" s="7">
        <v>68.8</v>
      </c>
      <c r="G70" s="7">
        <f t="shared" si="40"/>
        <v>0.29999999999999893</v>
      </c>
      <c r="H70" s="8">
        <f t="shared" si="41"/>
        <v>3.2000000000000028</v>
      </c>
      <c r="L70" s="6"/>
      <c r="M70" s="7">
        <v>10.4</v>
      </c>
      <c r="N70" s="7">
        <v>10.1</v>
      </c>
      <c r="O70" s="7">
        <v>72</v>
      </c>
      <c r="P70" s="7">
        <v>69.599999999999994</v>
      </c>
      <c r="Q70" s="7">
        <f t="shared" si="42"/>
        <v>0.30000000000000071</v>
      </c>
      <c r="R70" s="8">
        <f t="shared" si="43"/>
        <v>2.4000000000000057</v>
      </c>
      <c r="V70" s="6"/>
      <c r="W70" s="7">
        <v>10.4</v>
      </c>
      <c r="X70" s="7">
        <v>10.5</v>
      </c>
      <c r="Y70" s="7">
        <v>72</v>
      </c>
      <c r="Z70" s="7">
        <v>84</v>
      </c>
      <c r="AA70" s="7">
        <f t="shared" si="44"/>
        <v>9.9999999999999645E-2</v>
      </c>
      <c r="AB70" s="8">
        <f t="shared" si="45"/>
        <v>12</v>
      </c>
      <c r="AG70" s="6"/>
      <c r="AH70" s="7">
        <v>10.4</v>
      </c>
      <c r="AI70" s="7"/>
      <c r="AJ70" s="7">
        <v>72</v>
      </c>
      <c r="AK70" s="7">
        <v>82.3</v>
      </c>
      <c r="AL70" s="7">
        <f t="shared" si="46"/>
        <v>10.4</v>
      </c>
      <c r="AM70" s="8">
        <f t="shared" si="47"/>
        <v>10.299999999999997</v>
      </c>
      <c r="AR70" s="6"/>
      <c r="AS70" s="7">
        <v>10.4</v>
      </c>
      <c r="AT70" s="7">
        <v>10.6</v>
      </c>
      <c r="AU70" s="7">
        <v>72</v>
      </c>
      <c r="AV70" s="7">
        <v>67</v>
      </c>
      <c r="AW70" s="7">
        <f t="shared" si="48"/>
        <v>0.19999999999999929</v>
      </c>
      <c r="AX70" s="8">
        <f t="shared" si="49"/>
        <v>5</v>
      </c>
    </row>
    <row r="71" spans="2:50" x14ac:dyDescent="0.25">
      <c r="B71" s="3" t="s">
        <v>37</v>
      </c>
      <c r="C71" s="4">
        <v>12.8</v>
      </c>
      <c r="D71" s="4">
        <v>12.3</v>
      </c>
      <c r="E71" s="4">
        <v>95</v>
      </c>
      <c r="F71" s="4">
        <v>56.6</v>
      </c>
      <c r="G71">
        <f t="shared" si="40"/>
        <v>0.5</v>
      </c>
      <c r="H71" s="13">
        <f t="shared" si="41"/>
        <v>38.4</v>
      </c>
      <c r="L71" s="3" t="s">
        <v>37</v>
      </c>
      <c r="M71" s="4">
        <v>12.8</v>
      </c>
      <c r="N71" s="4">
        <v>12.9</v>
      </c>
      <c r="O71" s="4">
        <v>95</v>
      </c>
      <c r="P71" s="4">
        <v>50</v>
      </c>
      <c r="Q71">
        <f t="shared" si="42"/>
        <v>9.9999999999999645E-2</v>
      </c>
      <c r="R71" s="13">
        <f t="shared" si="43"/>
        <v>45</v>
      </c>
      <c r="V71" s="3" t="s">
        <v>37</v>
      </c>
      <c r="W71" s="4">
        <v>12.8</v>
      </c>
      <c r="X71" s="4">
        <v>12.9</v>
      </c>
      <c r="Y71" s="4">
        <v>95</v>
      </c>
      <c r="Z71" s="4">
        <v>95.5</v>
      </c>
      <c r="AA71">
        <f t="shared" si="44"/>
        <v>9.9999999999999645E-2</v>
      </c>
      <c r="AB71" s="13">
        <f t="shared" si="45"/>
        <v>0.5</v>
      </c>
      <c r="AG71" s="3" t="s">
        <v>37</v>
      </c>
      <c r="AH71" s="4">
        <v>12.8</v>
      </c>
      <c r="AI71" s="4"/>
      <c r="AJ71" s="4">
        <v>95</v>
      </c>
      <c r="AK71" s="4">
        <v>150</v>
      </c>
      <c r="AL71">
        <f t="shared" si="46"/>
        <v>12.8</v>
      </c>
      <c r="AM71" s="13">
        <f t="shared" si="47"/>
        <v>55</v>
      </c>
      <c r="AR71" s="3" t="s">
        <v>37</v>
      </c>
      <c r="AS71" s="4">
        <v>12.8</v>
      </c>
      <c r="AT71" s="4">
        <v>12.4</v>
      </c>
      <c r="AU71" s="4">
        <v>95</v>
      </c>
      <c r="AV71" s="4">
        <v>57.6</v>
      </c>
      <c r="AW71">
        <f t="shared" si="48"/>
        <v>0.40000000000000036</v>
      </c>
      <c r="AX71" s="13">
        <f t="shared" si="49"/>
        <v>37.4</v>
      </c>
    </row>
    <row r="72" spans="2:50" x14ac:dyDescent="0.25">
      <c r="B72" s="12"/>
      <c r="C72">
        <v>10</v>
      </c>
      <c r="D72">
        <v>10</v>
      </c>
      <c r="E72">
        <v>76</v>
      </c>
      <c r="F72">
        <v>63.9</v>
      </c>
      <c r="G72">
        <f t="shared" si="40"/>
        <v>0</v>
      </c>
      <c r="H72" s="13">
        <f t="shared" si="41"/>
        <v>12.100000000000001</v>
      </c>
      <c r="L72" s="12"/>
      <c r="M72">
        <v>10</v>
      </c>
      <c r="N72">
        <v>9.8000000000000007</v>
      </c>
      <c r="O72">
        <v>76</v>
      </c>
      <c r="P72">
        <v>58.4</v>
      </c>
      <c r="Q72">
        <f t="shared" si="42"/>
        <v>0.19999999999999929</v>
      </c>
      <c r="R72" s="13">
        <f t="shared" si="43"/>
        <v>17.600000000000001</v>
      </c>
      <c r="V72" s="12"/>
      <c r="W72">
        <v>10</v>
      </c>
      <c r="X72">
        <v>10.5</v>
      </c>
      <c r="Y72">
        <v>76</v>
      </c>
      <c r="Z72">
        <v>80.599999999999994</v>
      </c>
      <c r="AA72">
        <f t="shared" si="44"/>
        <v>0.5</v>
      </c>
      <c r="AB72" s="13">
        <f t="shared" si="45"/>
        <v>4.5999999999999943</v>
      </c>
      <c r="AG72" s="12"/>
      <c r="AH72">
        <v>10</v>
      </c>
      <c r="AJ72">
        <v>76</v>
      </c>
      <c r="AK72">
        <v>61</v>
      </c>
      <c r="AL72">
        <f t="shared" si="46"/>
        <v>10</v>
      </c>
      <c r="AM72" s="13">
        <f t="shared" si="47"/>
        <v>15</v>
      </c>
      <c r="AR72" s="12"/>
      <c r="AS72">
        <v>10</v>
      </c>
      <c r="AT72">
        <v>10</v>
      </c>
      <c r="AU72">
        <v>76</v>
      </c>
      <c r="AV72">
        <v>69.599999999999994</v>
      </c>
      <c r="AW72">
        <f t="shared" si="48"/>
        <v>0</v>
      </c>
      <c r="AX72" s="13">
        <f t="shared" si="49"/>
        <v>6.4000000000000057</v>
      </c>
    </row>
    <row r="73" spans="2:50" x14ac:dyDescent="0.25">
      <c r="B73" s="12"/>
      <c r="C73">
        <v>10</v>
      </c>
      <c r="D73">
        <v>9</v>
      </c>
      <c r="E73">
        <v>72</v>
      </c>
      <c r="F73">
        <v>66</v>
      </c>
      <c r="G73">
        <f t="shared" si="40"/>
        <v>1</v>
      </c>
      <c r="H73" s="13">
        <f t="shared" si="41"/>
        <v>6</v>
      </c>
      <c r="L73" s="12"/>
      <c r="M73">
        <v>10</v>
      </c>
      <c r="N73">
        <v>9.5</v>
      </c>
      <c r="O73">
        <v>72</v>
      </c>
      <c r="P73">
        <v>50.8</v>
      </c>
      <c r="Q73">
        <f t="shared" si="42"/>
        <v>0.5</v>
      </c>
      <c r="R73" s="13">
        <f t="shared" si="43"/>
        <v>21.200000000000003</v>
      </c>
      <c r="V73" s="12"/>
      <c r="W73">
        <v>10</v>
      </c>
      <c r="X73">
        <v>9.4</v>
      </c>
      <c r="Y73">
        <v>72</v>
      </c>
      <c r="Z73">
        <v>79.7</v>
      </c>
      <c r="AA73">
        <f t="shared" si="44"/>
        <v>0.59999999999999964</v>
      </c>
      <c r="AB73" s="13">
        <f t="shared" si="45"/>
        <v>7.7000000000000028</v>
      </c>
      <c r="AG73" s="12"/>
      <c r="AH73">
        <v>10</v>
      </c>
      <c r="AJ73">
        <v>72</v>
      </c>
      <c r="AK73">
        <v>72.7</v>
      </c>
      <c r="AL73">
        <f t="shared" si="46"/>
        <v>10</v>
      </c>
      <c r="AM73" s="13">
        <f t="shared" si="47"/>
        <v>0.70000000000000284</v>
      </c>
      <c r="AR73" s="12"/>
      <c r="AS73">
        <v>10</v>
      </c>
      <c r="AT73">
        <v>9.6</v>
      </c>
      <c r="AU73">
        <v>72</v>
      </c>
      <c r="AV73">
        <v>57.3</v>
      </c>
      <c r="AW73">
        <f t="shared" si="48"/>
        <v>0.40000000000000036</v>
      </c>
      <c r="AX73" s="13">
        <f t="shared" si="49"/>
        <v>14.700000000000003</v>
      </c>
    </row>
    <row r="74" spans="2:50" x14ac:dyDescent="0.25">
      <c r="B74" s="6"/>
      <c r="C74" s="7">
        <v>10</v>
      </c>
      <c r="D74" s="7">
        <v>10.8</v>
      </c>
      <c r="E74" s="7">
        <v>102</v>
      </c>
      <c r="F74" s="7">
        <v>81</v>
      </c>
      <c r="G74" s="7">
        <f t="shared" si="40"/>
        <v>0.80000000000000071</v>
      </c>
      <c r="H74" s="13">
        <f t="shared" si="41"/>
        <v>21</v>
      </c>
      <c r="L74" s="6"/>
      <c r="M74" s="7">
        <v>10</v>
      </c>
      <c r="N74" s="7">
        <v>9.6999999999999993</v>
      </c>
      <c r="O74" s="7">
        <v>102</v>
      </c>
      <c r="P74" s="7">
        <v>102</v>
      </c>
      <c r="Q74" s="7">
        <f t="shared" si="42"/>
        <v>0.30000000000000071</v>
      </c>
      <c r="R74" s="8">
        <f t="shared" si="43"/>
        <v>0</v>
      </c>
      <c r="V74" s="6"/>
      <c r="W74" s="7">
        <v>10</v>
      </c>
      <c r="X74" s="7">
        <v>10</v>
      </c>
      <c r="Y74" s="7">
        <v>102</v>
      </c>
      <c r="Z74" s="7">
        <v>101</v>
      </c>
      <c r="AA74" s="7">
        <f t="shared" si="44"/>
        <v>0</v>
      </c>
      <c r="AB74" s="8">
        <f t="shared" si="45"/>
        <v>1</v>
      </c>
      <c r="AG74" s="6"/>
      <c r="AH74" s="7">
        <v>10</v>
      </c>
      <c r="AI74" s="7"/>
      <c r="AJ74" s="7">
        <v>102</v>
      </c>
      <c r="AK74" s="7">
        <v>136.80000000000001</v>
      </c>
      <c r="AL74" s="7">
        <f t="shared" si="46"/>
        <v>10</v>
      </c>
      <c r="AM74" s="8">
        <f t="shared" si="47"/>
        <v>34.800000000000011</v>
      </c>
      <c r="AR74" s="6"/>
      <c r="AS74" s="7">
        <v>10</v>
      </c>
      <c r="AT74" s="7">
        <v>10.5</v>
      </c>
      <c r="AU74" s="7">
        <v>102</v>
      </c>
      <c r="AV74" s="7">
        <v>84</v>
      </c>
      <c r="AW74" s="7">
        <f t="shared" si="48"/>
        <v>0.5</v>
      </c>
      <c r="AX74" s="8">
        <f t="shared" si="49"/>
        <v>18</v>
      </c>
    </row>
    <row r="75" spans="2:50" x14ac:dyDescent="0.25">
      <c r="B75" s="3" t="s">
        <v>38</v>
      </c>
      <c r="C75" s="4">
        <v>10.8</v>
      </c>
      <c r="D75" s="4">
        <v>10</v>
      </c>
      <c r="E75" s="4">
        <v>91</v>
      </c>
      <c r="F75" s="4">
        <v>68.8</v>
      </c>
      <c r="G75" s="4">
        <f t="shared" si="40"/>
        <v>0.80000000000000071</v>
      </c>
      <c r="H75" s="5">
        <f>ABS(F75-E75)</f>
        <v>22.200000000000003</v>
      </c>
      <c r="L75" s="3" t="s">
        <v>38</v>
      </c>
      <c r="M75" s="4">
        <v>10.8</v>
      </c>
      <c r="N75" s="4">
        <v>10</v>
      </c>
      <c r="O75" s="4">
        <v>91</v>
      </c>
      <c r="P75" s="4">
        <v>118.8</v>
      </c>
      <c r="Q75" s="4">
        <f t="shared" si="42"/>
        <v>0.80000000000000071</v>
      </c>
      <c r="R75" s="5">
        <f>ABS(P75-O75)</f>
        <v>27.799999999999997</v>
      </c>
      <c r="V75" s="3" t="s">
        <v>38</v>
      </c>
      <c r="W75" s="4">
        <v>10.8</v>
      </c>
      <c r="X75" s="4">
        <v>10</v>
      </c>
      <c r="Y75" s="4">
        <v>91</v>
      </c>
      <c r="Z75" s="4">
        <v>81.2</v>
      </c>
      <c r="AA75" s="4">
        <f t="shared" si="44"/>
        <v>0.80000000000000071</v>
      </c>
      <c r="AB75" s="5">
        <f>ABS(Z75-Y75)</f>
        <v>9.7999999999999972</v>
      </c>
      <c r="AG75" s="3" t="s">
        <v>38</v>
      </c>
      <c r="AH75" s="4">
        <v>10.8</v>
      </c>
      <c r="AI75" s="4"/>
      <c r="AJ75" s="4">
        <v>91</v>
      </c>
      <c r="AK75" s="4">
        <v>114.6</v>
      </c>
      <c r="AL75" s="4">
        <f t="shared" si="46"/>
        <v>10.8</v>
      </c>
      <c r="AM75" s="5">
        <f>ABS(AK75-AJ75)</f>
        <v>23.599999999999994</v>
      </c>
      <c r="AR75" s="3" t="s">
        <v>38</v>
      </c>
      <c r="AS75" s="4">
        <v>10.8</v>
      </c>
      <c r="AT75" s="4">
        <v>10</v>
      </c>
      <c r="AU75" s="4">
        <v>91</v>
      </c>
      <c r="AV75" s="4">
        <v>64.400000000000006</v>
      </c>
      <c r="AW75" s="4">
        <f t="shared" si="48"/>
        <v>0.80000000000000071</v>
      </c>
      <c r="AX75" s="5">
        <f>ABS(AV75-AU75)</f>
        <v>26.599999999999994</v>
      </c>
    </row>
    <row r="76" spans="2:50" x14ac:dyDescent="0.25">
      <c r="B76" s="12"/>
      <c r="C76">
        <v>8.8000000000000007</v>
      </c>
      <c r="D76">
        <v>8.1999999999999993</v>
      </c>
      <c r="E76">
        <v>94</v>
      </c>
      <c r="F76">
        <v>69.3</v>
      </c>
      <c r="G76">
        <f t="shared" si="40"/>
        <v>0.60000000000000142</v>
      </c>
      <c r="H76" s="13">
        <f t="shared" ref="H76:H82" si="50">ABS(F76-E76)</f>
        <v>24.700000000000003</v>
      </c>
      <c r="L76" s="12"/>
      <c r="M76">
        <v>8.8000000000000007</v>
      </c>
      <c r="N76">
        <v>9.4</v>
      </c>
      <c r="O76">
        <v>94</v>
      </c>
      <c r="P76">
        <v>76.400000000000006</v>
      </c>
      <c r="Q76">
        <f t="shared" si="42"/>
        <v>0.59999999999999964</v>
      </c>
      <c r="R76" s="13">
        <f t="shared" ref="R76:R82" si="51">ABS(P76-O76)</f>
        <v>17.599999999999994</v>
      </c>
      <c r="V76" s="12"/>
      <c r="W76">
        <v>8.8000000000000007</v>
      </c>
      <c r="X76">
        <v>7.3</v>
      </c>
      <c r="Y76">
        <v>94</v>
      </c>
      <c r="Z76">
        <v>83.5</v>
      </c>
      <c r="AA76">
        <f t="shared" si="44"/>
        <v>1.5000000000000009</v>
      </c>
      <c r="AB76" s="13">
        <f t="shared" ref="AB76:AB82" si="52">ABS(Z76-Y76)</f>
        <v>10.5</v>
      </c>
      <c r="AG76" s="12"/>
      <c r="AH76">
        <v>8.8000000000000007</v>
      </c>
      <c r="AJ76">
        <v>94</v>
      </c>
      <c r="AK76">
        <v>74.5</v>
      </c>
      <c r="AL76">
        <f t="shared" si="46"/>
        <v>8.8000000000000007</v>
      </c>
      <c r="AM76" s="13">
        <f t="shared" ref="AM76:AM82" si="53">ABS(AK76-AJ76)</f>
        <v>19.5</v>
      </c>
      <c r="AR76" s="12"/>
      <c r="AS76">
        <v>8.8000000000000007</v>
      </c>
      <c r="AT76">
        <v>8.8000000000000007</v>
      </c>
      <c r="AU76">
        <v>94</v>
      </c>
      <c r="AV76">
        <v>78.900000000000006</v>
      </c>
      <c r="AW76">
        <f>ABS(AS76-AT76)</f>
        <v>0</v>
      </c>
      <c r="AX76" s="13">
        <f t="shared" ref="AX76:AX82" si="54">ABS(AV76-AU76)</f>
        <v>15.099999999999994</v>
      </c>
    </row>
    <row r="77" spans="2:50" x14ac:dyDescent="0.25">
      <c r="B77" s="12"/>
      <c r="C77">
        <v>10</v>
      </c>
      <c r="D77">
        <v>9.5</v>
      </c>
      <c r="E77">
        <v>76</v>
      </c>
      <c r="F77">
        <v>78.400000000000006</v>
      </c>
      <c r="G77">
        <f t="shared" si="40"/>
        <v>0.5</v>
      </c>
      <c r="H77" s="13">
        <f t="shared" si="50"/>
        <v>2.4000000000000057</v>
      </c>
      <c r="L77" s="12"/>
      <c r="M77">
        <v>10</v>
      </c>
      <c r="N77">
        <v>9.6</v>
      </c>
      <c r="O77">
        <v>76</v>
      </c>
      <c r="P77">
        <v>85.6</v>
      </c>
      <c r="Q77">
        <f t="shared" si="42"/>
        <v>0.40000000000000036</v>
      </c>
      <c r="R77" s="13">
        <f t="shared" si="51"/>
        <v>9.5999999999999943</v>
      </c>
      <c r="V77" s="12"/>
      <c r="W77">
        <v>10</v>
      </c>
      <c r="X77">
        <v>9</v>
      </c>
      <c r="Y77">
        <v>76</v>
      </c>
      <c r="Z77">
        <v>77.599999999999994</v>
      </c>
      <c r="AA77">
        <f t="shared" si="44"/>
        <v>1</v>
      </c>
      <c r="AB77" s="13">
        <f t="shared" si="52"/>
        <v>1.5999999999999943</v>
      </c>
      <c r="AG77" s="12"/>
      <c r="AH77">
        <v>10</v>
      </c>
      <c r="AJ77">
        <v>76</v>
      </c>
      <c r="AK77">
        <v>172</v>
      </c>
      <c r="AL77">
        <f t="shared" si="46"/>
        <v>10</v>
      </c>
      <c r="AM77" s="13">
        <f t="shared" si="53"/>
        <v>96</v>
      </c>
      <c r="AR77" s="12"/>
      <c r="AS77">
        <v>10</v>
      </c>
      <c r="AT77">
        <v>10.15</v>
      </c>
      <c r="AU77">
        <v>76</v>
      </c>
      <c r="AV77">
        <v>89.7</v>
      </c>
      <c r="AW77">
        <f>ABS(AS77-AT77)</f>
        <v>0.15000000000000036</v>
      </c>
      <c r="AX77" s="13">
        <f t="shared" si="54"/>
        <v>13.700000000000003</v>
      </c>
    </row>
    <row r="78" spans="2:50" x14ac:dyDescent="0.25">
      <c r="B78" s="6"/>
      <c r="C78" s="7">
        <v>8.8000000000000007</v>
      </c>
      <c r="D78" s="7">
        <v>9.6999999999999993</v>
      </c>
      <c r="E78" s="7">
        <v>94</v>
      </c>
      <c r="F78" s="7">
        <v>83.2</v>
      </c>
      <c r="G78" s="7">
        <f t="shared" si="40"/>
        <v>0.89999999999999858</v>
      </c>
      <c r="H78" s="13">
        <f t="shared" si="50"/>
        <v>10.799999999999997</v>
      </c>
      <c r="L78" s="6"/>
      <c r="M78" s="7">
        <v>8.8000000000000007</v>
      </c>
      <c r="N78" s="7">
        <v>9.8000000000000007</v>
      </c>
      <c r="O78" s="7">
        <v>94</v>
      </c>
      <c r="P78" s="7">
        <v>113</v>
      </c>
      <c r="Q78" s="7">
        <f t="shared" si="42"/>
        <v>1</v>
      </c>
      <c r="R78" s="13">
        <f t="shared" si="51"/>
        <v>19</v>
      </c>
      <c r="V78" s="6"/>
      <c r="W78" s="7">
        <v>8.8000000000000007</v>
      </c>
      <c r="X78" s="7">
        <v>9</v>
      </c>
      <c r="Y78" s="7">
        <v>94</v>
      </c>
      <c r="Z78" s="7">
        <v>87</v>
      </c>
      <c r="AA78" s="7">
        <f t="shared" si="44"/>
        <v>0.19999999999999929</v>
      </c>
      <c r="AB78" s="13">
        <f t="shared" si="52"/>
        <v>7</v>
      </c>
      <c r="AG78" s="6"/>
      <c r="AH78" s="7">
        <v>8.8000000000000007</v>
      </c>
      <c r="AI78" s="7"/>
      <c r="AJ78" s="7">
        <v>94</v>
      </c>
      <c r="AK78" s="7">
        <v>165</v>
      </c>
      <c r="AL78" s="7">
        <f t="shared" si="46"/>
        <v>8.8000000000000007</v>
      </c>
      <c r="AM78" s="13">
        <f t="shared" si="53"/>
        <v>71</v>
      </c>
      <c r="AR78" s="6"/>
      <c r="AS78" s="7">
        <v>8.8000000000000007</v>
      </c>
      <c r="AT78" s="7">
        <v>9.1999999999999993</v>
      </c>
      <c r="AU78" s="7">
        <v>94</v>
      </c>
      <c r="AV78" s="7">
        <v>68.900000000000006</v>
      </c>
      <c r="AW78" s="7">
        <f t="shared" si="48"/>
        <v>0.39999999999999858</v>
      </c>
      <c r="AX78" s="13">
        <f t="shared" si="54"/>
        <v>25.099999999999994</v>
      </c>
    </row>
    <row r="79" spans="2:50" x14ac:dyDescent="0.25">
      <c r="B79" s="3" t="s">
        <v>39</v>
      </c>
      <c r="C79" s="4">
        <v>10.8</v>
      </c>
      <c r="D79" s="4">
        <v>10.7</v>
      </c>
      <c r="E79" s="4">
        <v>95</v>
      </c>
      <c r="F79" s="4">
        <v>68.7</v>
      </c>
      <c r="G79" s="4">
        <f t="shared" si="40"/>
        <v>0.10000000000000142</v>
      </c>
      <c r="H79" s="5">
        <f t="shared" si="50"/>
        <v>26.299999999999997</v>
      </c>
      <c r="L79" s="3" t="s">
        <v>39</v>
      </c>
      <c r="M79" s="4">
        <v>10.8</v>
      </c>
      <c r="N79" s="4">
        <v>10.1</v>
      </c>
      <c r="O79" s="4">
        <v>95</v>
      </c>
      <c r="P79" s="4">
        <v>93.6</v>
      </c>
      <c r="Q79" s="4">
        <f t="shared" si="42"/>
        <v>0.70000000000000107</v>
      </c>
      <c r="R79" s="5">
        <f t="shared" si="51"/>
        <v>1.4000000000000057</v>
      </c>
      <c r="V79" s="3" t="s">
        <v>39</v>
      </c>
      <c r="W79" s="4">
        <v>10.8</v>
      </c>
      <c r="X79" s="4">
        <v>10.5</v>
      </c>
      <c r="Y79" s="4">
        <v>95</v>
      </c>
      <c r="Z79" s="4">
        <v>88.5</v>
      </c>
      <c r="AA79" s="4">
        <f t="shared" si="44"/>
        <v>0.30000000000000071</v>
      </c>
      <c r="AB79" s="5">
        <f t="shared" si="52"/>
        <v>6.5</v>
      </c>
      <c r="AG79" s="3" t="s">
        <v>39</v>
      </c>
      <c r="AH79" s="4">
        <v>10.8</v>
      </c>
      <c r="AI79" s="4"/>
      <c r="AJ79" s="4">
        <v>95</v>
      </c>
      <c r="AK79" s="4">
        <v>106.5</v>
      </c>
      <c r="AL79" s="4">
        <f t="shared" si="46"/>
        <v>10.8</v>
      </c>
      <c r="AM79" s="5">
        <f t="shared" si="53"/>
        <v>11.5</v>
      </c>
      <c r="AR79" s="3" t="s">
        <v>39</v>
      </c>
      <c r="AS79" s="4">
        <v>10.8</v>
      </c>
      <c r="AT79" s="4">
        <v>10.6</v>
      </c>
      <c r="AU79" s="4">
        <v>95</v>
      </c>
      <c r="AV79" s="4">
        <v>86.7</v>
      </c>
      <c r="AW79" s="4">
        <f t="shared" si="48"/>
        <v>0.20000000000000107</v>
      </c>
      <c r="AX79" s="5">
        <f t="shared" si="54"/>
        <v>8.2999999999999972</v>
      </c>
    </row>
    <row r="80" spans="2:50" x14ac:dyDescent="0.25">
      <c r="B80" s="12"/>
      <c r="C80">
        <v>9.1999999999999993</v>
      </c>
      <c r="D80">
        <v>8.9</v>
      </c>
      <c r="E80">
        <v>101</v>
      </c>
      <c r="F80">
        <v>72.599999999999994</v>
      </c>
      <c r="G80">
        <f t="shared" si="40"/>
        <v>0.29999999999999893</v>
      </c>
      <c r="H80" s="13">
        <f t="shared" si="50"/>
        <v>28.400000000000006</v>
      </c>
      <c r="L80" s="12"/>
      <c r="M80">
        <v>9.1999999999999993</v>
      </c>
      <c r="N80">
        <v>9.3000000000000007</v>
      </c>
      <c r="O80">
        <v>101</v>
      </c>
      <c r="P80">
        <v>50.5</v>
      </c>
      <c r="Q80">
        <f t="shared" si="42"/>
        <v>0.10000000000000142</v>
      </c>
      <c r="R80" s="13">
        <f t="shared" si="51"/>
        <v>50.5</v>
      </c>
      <c r="V80" s="12"/>
      <c r="W80">
        <v>9.1999999999999993</v>
      </c>
      <c r="X80">
        <v>8.1999999999999993</v>
      </c>
      <c r="Y80">
        <v>101</v>
      </c>
      <c r="Z80">
        <v>95.8</v>
      </c>
      <c r="AA80">
        <f t="shared" si="44"/>
        <v>1</v>
      </c>
      <c r="AB80" s="13">
        <f t="shared" si="52"/>
        <v>5.2000000000000028</v>
      </c>
      <c r="AG80" s="12"/>
      <c r="AH80">
        <v>9.1999999999999993</v>
      </c>
      <c r="AJ80">
        <v>101</v>
      </c>
      <c r="AK80">
        <v>64.3</v>
      </c>
      <c r="AL80">
        <f t="shared" si="46"/>
        <v>9.1999999999999993</v>
      </c>
      <c r="AM80" s="13">
        <f t="shared" si="53"/>
        <v>36.700000000000003</v>
      </c>
      <c r="AR80" s="12"/>
      <c r="AS80">
        <v>9.1999999999999993</v>
      </c>
      <c r="AT80">
        <v>8.6</v>
      </c>
      <c r="AU80">
        <v>101</v>
      </c>
      <c r="AV80">
        <v>64.3</v>
      </c>
      <c r="AW80">
        <f t="shared" si="48"/>
        <v>0.59999999999999964</v>
      </c>
      <c r="AX80" s="13">
        <f t="shared" si="54"/>
        <v>36.700000000000003</v>
      </c>
    </row>
    <row r="81" spans="2:50" x14ac:dyDescent="0.25">
      <c r="B81" s="12"/>
      <c r="C81">
        <v>10</v>
      </c>
      <c r="D81">
        <v>7.1</v>
      </c>
      <c r="E81">
        <v>90</v>
      </c>
      <c r="F81">
        <v>70.8</v>
      </c>
      <c r="G81">
        <f t="shared" si="40"/>
        <v>2.9000000000000004</v>
      </c>
      <c r="H81" s="13">
        <f t="shared" si="50"/>
        <v>19.200000000000003</v>
      </c>
      <c r="L81" s="12"/>
      <c r="M81">
        <v>10</v>
      </c>
      <c r="N81">
        <v>8.8000000000000007</v>
      </c>
      <c r="O81">
        <v>90</v>
      </c>
      <c r="P81">
        <v>58.8</v>
      </c>
      <c r="Q81">
        <f t="shared" si="42"/>
        <v>1.1999999999999993</v>
      </c>
      <c r="R81" s="13">
        <f t="shared" si="51"/>
        <v>31.200000000000003</v>
      </c>
      <c r="V81" s="12"/>
      <c r="W81">
        <v>10</v>
      </c>
      <c r="X81">
        <v>7</v>
      </c>
      <c r="Y81">
        <v>90</v>
      </c>
      <c r="Z81">
        <v>88.5</v>
      </c>
      <c r="AA81">
        <f t="shared" si="44"/>
        <v>3</v>
      </c>
      <c r="AB81" s="13">
        <f t="shared" si="52"/>
        <v>1.5</v>
      </c>
      <c r="AG81" s="12"/>
      <c r="AH81">
        <v>10</v>
      </c>
      <c r="AJ81">
        <v>90</v>
      </c>
      <c r="AK81">
        <v>102</v>
      </c>
      <c r="AL81">
        <f t="shared" si="46"/>
        <v>10</v>
      </c>
      <c r="AM81" s="13">
        <f t="shared" si="53"/>
        <v>12</v>
      </c>
      <c r="AR81" s="12"/>
      <c r="AS81">
        <v>10</v>
      </c>
      <c r="AT81">
        <v>6.6</v>
      </c>
      <c r="AU81">
        <v>90</v>
      </c>
      <c r="AV81">
        <v>75.599999999999994</v>
      </c>
      <c r="AW81">
        <f t="shared" si="48"/>
        <v>3.4000000000000004</v>
      </c>
      <c r="AX81" s="13">
        <f t="shared" si="54"/>
        <v>14.400000000000006</v>
      </c>
    </row>
    <row r="82" spans="2:50" x14ac:dyDescent="0.25">
      <c r="B82" s="6"/>
      <c r="C82" s="7">
        <v>10.8</v>
      </c>
      <c r="D82" s="7">
        <v>8</v>
      </c>
      <c r="E82" s="7">
        <v>75</v>
      </c>
      <c r="F82" s="7">
        <v>65</v>
      </c>
      <c r="G82" s="7">
        <f t="shared" si="40"/>
        <v>2.8000000000000007</v>
      </c>
      <c r="H82" s="8">
        <f t="shared" si="50"/>
        <v>10</v>
      </c>
      <c r="L82" s="6"/>
      <c r="M82" s="7">
        <v>10.8</v>
      </c>
      <c r="N82" s="7">
        <v>9.4</v>
      </c>
      <c r="O82" s="7">
        <v>75</v>
      </c>
      <c r="P82" s="7">
        <v>53.2</v>
      </c>
      <c r="Q82" s="7">
        <f t="shared" si="42"/>
        <v>1.4000000000000004</v>
      </c>
      <c r="R82" s="13">
        <f t="shared" si="51"/>
        <v>21.799999999999997</v>
      </c>
      <c r="V82" s="6"/>
      <c r="W82" s="7">
        <v>10.8</v>
      </c>
      <c r="X82" s="7">
        <v>7.3</v>
      </c>
      <c r="Y82" s="7">
        <v>75</v>
      </c>
      <c r="Z82" s="7">
        <v>86.1</v>
      </c>
      <c r="AA82" s="7">
        <f t="shared" si="44"/>
        <v>3.5000000000000009</v>
      </c>
      <c r="AB82" s="13">
        <f t="shared" si="52"/>
        <v>11.099999999999994</v>
      </c>
      <c r="AG82" s="6"/>
      <c r="AH82" s="7">
        <v>10.8</v>
      </c>
      <c r="AI82" s="7"/>
      <c r="AJ82" s="7">
        <v>75</v>
      </c>
      <c r="AK82" s="7">
        <v>181.5</v>
      </c>
      <c r="AL82" s="7">
        <f t="shared" si="46"/>
        <v>10.8</v>
      </c>
      <c r="AM82" s="8">
        <f t="shared" si="53"/>
        <v>106.5</v>
      </c>
      <c r="AR82" s="6"/>
      <c r="AS82" s="7">
        <v>10.8</v>
      </c>
      <c r="AT82" s="7">
        <v>9.4</v>
      </c>
      <c r="AU82" s="7">
        <v>75</v>
      </c>
      <c r="AV82" s="7">
        <v>89.8</v>
      </c>
      <c r="AW82" s="7">
        <f t="shared" si="48"/>
        <v>1.4000000000000004</v>
      </c>
      <c r="AX82" s="13">
        <f t="shared" si="54"/>
        <v>14.799999999999997</v>
      </c>
    </row>
    <row r="83" spans="2:50" x14ac:dyDescent="0.25">
      <c r="G83">
        <f>AVERAGE(G2:G82)</f>
        <v>0.71604938271604957</v>
      </c>
      <c r="H83">
        <f>AVERAGE(H2:H82)</f>
        <v>14.438271604938274</v>
      </c>
      <c r="Q83">
        <f>AVERAGE(Q2:Q82)</f>
        <v>0.67160493827160495</v>
      </c>
      <c r="R83" s="4">
        <f>AVERAGE(R2:R82)</f>
        <v>20.487654320987655</v>
      </c>
      <c r="AA83">
        <f>AVERAGE(AA2:AA82)</f>
        <v>0.8271604938271605</v>
      </c>
      <c r="AB83" s="4">
        <f>AVERAGE(AB2:AB82)</f>
        <v>10.588888888888889</v>
      </c>
      <c r="AM83">
        <f>AVERAGE(AM2:AM82)</f>
        <v>44.99259259259258</v>
      </c>
      <c r="AW83">
        <f>AVERAGE(AW2:AW82)</f>
        <v>0.64864197530864198</v>
      </c>
      <c r="AX83" s="4">
        <f>AVERAGE(AX2:AX82)</f>
        <v>15.808641975308642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farina</dc:creator>
  <cp:lastModifiedBy>christian farina</cp:lastModifiedBy>
  <dcterms:created xsi:type="dcterms:W3CDTF">2015-06-05T18:19:34Z</dcterms:created>
  <dcterms:modified xsi:type="dcterms:W3CDTF">2026-01-31T12:52:58Z</dcterms:modified>
</cp:coreProperties>
</file>