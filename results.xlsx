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ist\Desktop\"/>
    </mc:Choice>
  </mc:AlternateContent>
  <xr:revisionPtr revIDLastSave="0" documentId="13_ncr:1_{B5671946-4586-4312-B424-1B75EE7EEB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4" i="1" l="1"/>
  <c r="AM134" i="1"/>
  <c r="AM109" i="1"/>
  <c r="AM110" i="1"/>
  <c r="AM111" i="1"/>
  <c r="AM112" i="1"/>
  <c r="AM113" i="1"/>
  <c r="AM114" i="1"/>
  <c r="AM115" i="1"/>
  <c r="AM116" i="1"/>
  <c r="AM117" i="1"/>
  <c r="AL109" i="1"/>
  <c r="AL110" i="1"/>
  <c r="AL111" i="1"/>
  <c r="AL112" i="1"/>
  <c r="AL113" i="1"/>
  <c r="AL114" i="1"/>
  <c r="AL115" i="1"/>
  <c r="AL116" i="1"/>
  <c r="AL117" i="1"/>
  <c r="AX113" i="1" l="1"/>
  <c r="AX114" i="1"/>
  <c r="AX115" i="1"/>
  <c r="AX116" i="1"/>
  <c r="AX117" i="1"/>
  <c r="AW113" i="1"/>
  <c r="AW114" i="1"/>
  <c r="AW115" i="1"/>
  <c r="AW116" i="1"/>
  <c r="AW117" i="1"/>
  <c r="AX112" i="1"/>
  <c r="AW112" i="1"/>
  <c r="AX111" i="1"/>
  <c r="AW111" i="1"/>
  <c r="AX110" i="1"/>
  <c r="AW110" i="1"/>
  <c r="AX109" i="1"/>
  <c r="AW109" i="1"/>
  <c r="AB113" i="1"/>
  <c r="AB114" i="1"/>
  <c r="AB115" i="1"/>
  <c r="AB116" i="1"/>
  <c r="AB117" i="1"/>
  <c r="AA113" i="1"/>
  <c r="AA114" i="1"/>
  <c r="AA115" i="1"/>
  <c r="AA116" i="1"/>
  <c r="AA117" i="1"/>
  <c r="AA112" i="1"/>
  <c r="AB112" i="1"/>
  <c r="AB111" i="1"/>
  <c r="AA111" i="1"/>
  <c r="AB110" i="1"/>
  <c r="AA110" i="1"/>
  <c r="AB109" i="1"/>
  <c r="AA109" i="1"/>
  <c r="H112" i="1"/>
  <c r="H113" i="1"/>
  <c r="H114" i="1"/>
  <c r="H115" i="1"/>
  <c r="H116" i="1"/>
  <c r="H117" i="1"/>
  <c r="G112" i="1"/>
  <c r="G113" i="1"/>
  <c r="G114" i="1"/>
  <c r="G115" i="1"/>
  <c r="G116" i="1"/>
  <c r="G117" i="1"/>
  <c r="H111" i="1"/>
  <c r="G111" i="1"/>
  <c r="H110" i="1"/>
  <c r="G110" i="1"/>
  <c r="H109" i="1"/>
  <c r="G109" i="1"/>
  <c r="R117" i="1"/>
  <c r="Q117" i="1"/>
  <c r="R116" i="1"/>
  <c r="Q116" i="1"/>
  <c r="R115" i="1"/>
  <c r="Q115" i="1"/>
  <c r="R114" i="1"/>
  <c r="Q114" i="1"/>
  <c r="R113" i="1"/>
  <c r="R112" i="1"/>
  <c r="Q113" i="1"/>
  <c r="Q112" i="1"/>
  <c r="R111" i="1"/>
  <c r="Q111" i="1"/>
  <c r="R110" i="1"/>
  <c r="Q110" i="1"/>
  <c r="R109" i="1"/>
  <c r="Q109" i="1"/>
  <c r="AX108" i="1" l="1"/>
  <c r="AW108" i="1"/>
  <c r="AX107" i="1"/>
  <c r="AW107" i="1"/>
  <c r="AX106" i="1"/>
  <c r="AW106" i="1"/>
  <c r="AX105" i="1"/>
  <c r="AW105" i="1"/>
  <c r="AX104" i="1"/>
  <c r="AW104" i="1"/>
  <c r="AX103" i="1"/>
  <c r="AW103" i="1"/>
  <c r="AX102" i="1"/>
  <c r="AW102" i="1"/>
  <c r="AX101" i="1"/>
  <c r="AW101" i="1"/>
  <c r="AX100" i="1"/>
  <c r="AW100" i="1"/>
  <c r="AX99" i="1"/>
  <c r="AW99" i="1"/>
  <c r="AX98" i="1"/>
  <c r="AW98" i="1"/>
  <c r="AX97" i="1"/>
  <c r="AW97" i="1"/>
  <c r="AM108" i="1"/>
  <c r="AL108" i="1"/>
  <c r="AM107" i="1"/>
  <c r="AL107" i="1"/>
  <c r="AM106" i="1"/>
  <c r="AL106" i="1"/>
  <c r="AM105" i="1"/>
  <c r="AL105" i="1"/>
  <c r="AM104" i="1"/>
  <c r="AL104" i="1"/>
  <c r="AM103" i="1"/>
  <c r="AL103" i="1"/>
  <c r="AM102" i="1"/>
  <c r="AL102" i="1"/>
  <c r="AM101" i="1"/>
  <c r="AL101" i="1"/>
  <c r="AM100" i="1"/>
  <c r="AL100" i="1"/>
  <c r="AM99" i="1"/>
  <c r="AL99" i="1"/>
  <c r="AM98" i="1"/>
  <c r="AL98" i="1"/>
  <c r="AM97" i="1"/>
  <c r="AL97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R108" i="1"/>
  <c r="Q108" i="1"/>
  <c r="R107" i="1"/>
  <c r="Q107" i="1"/>
  <c r="R106" i="1"/>
  <c r="Q106" i="1"/>
  <c r="R105" i="1"/>
  <c r="Q105" i="1"/>
  <c r="R104" i="1"/>
  <c r="Q104" i="1"/>
  <c r="R103" i="1"/>
  <c r="Q103" i="1"/>
  <c r="R102" i="1"/>
  <c r="Q102" i="1"/>
  <c r="R101" i="1"/>
  <c r="Q101" i="1"/>
  <c r="R100" i="1"/>
  <c r="Q100" i="1"/>
  <c r="R99" i="1"/>
  <c r="Q99" i="1"/>
  <c r="R98" i="1"/>
  <c r="Q98" i="1"/>
  <c r="R97" i="1"/>
  <c r="Q97" i="1"/>
  <c r="G97" i="1"/>
  <c r="G98" i="1"/>
  <c r="G99" i="1"/>
  <c r="G100" i="1"/>
  <c r="G101" i="1"/>
  <c r="G102" i="1"/>
  <c r="G103" i="1"/>
  <c r="G104" i="1"/>
  <c r="G105" i="1"/>
  <c r="G106" i="1"/>
  <c r="G107" i="1"/>
  <c r="G108" i="1"/>
  <c r="H97" i="1"/>
  <c r="H98" i="1"/>
  <c r="H99" i="1"/>
  <c r="H100" i="1"/>
  <c r="H101" i="1"/>
  <c r="H102" i="1"/>
  <c r="H103" i="1"/>
  <c r="H104" i="1"/>
  <c r="H105" i="1"/>
  <c r="H106" i="1"/>
  <c r="H107" i="1"/>
  <c r="H108" i="1"/>
  <c r="AX53" i="1" l="1"/>
  <c r="AW53" i="1"/>
  <c r="AX52" i="1"/>
  <c r="AW52" i="1"/>
  <c r="AX51" i="1"/>
  <c r="AW51" i="1"/>
  <c r="AX50" i="1"/>
  <c r="AW50" i="1"/>
  <c r="AX49" i="1"/>
  <c r="AW49" i="1"/>
  <c r="AX48" i="1"/>
  <c r="AW48" i="1"/>
  <c r="AX47" i="1"/>
  <c r="AW47" i="1"/>
  <c r="AX46" i="1"/>
  <c r="AW46" i="1"/>
  <c r="AX45" i="1"/>
  <c r="AW45" i="1"/>
  <c r="AX44" i="1"/>
  <c r="AW44" i="1"/>
  <c r="AX43" i="1"/>
  <c r="AW43" i="1"/>
  <c r="AX42" i="1"/>
  <c r="AW42" i="1"/>
  <c r="AX41" i="1"/>
  <c r="AW41" i="1"/>
  <c r="AX40" i="1"/>
  <c r="AW40" i="1"/>
  <c r="AX39" i="1"/>
  <c r="AW39" i="1"/>
  <c r="AX38" i="1"/>
  <c r="AW38" i="1"/>
  <c r="AX37" i="1"/>
  <c r="AW37" i="1"/>
  <c r="AX36" i="1"/>
  <c r="AW36" i="1"/>
  <c r="AX35" i="1"/>
  <c r="AW35" i="1"/>
  <c r="AX34" i="1"/>
  <c r="AW34" i="1"/>
  <c r="AX33" i="1"/>
  <c r="AW33" i="1"/>
  <c r="AX32" i="1"/>
  <c r="AW32" i="1"/>
  <c r="AX31" i="1"/>
  <c r="AW31" i="1"/>
  <c r="AX30" i="1"/>
  <c r="AW30" i="1"/>
  <c r="AX29" i="1"/>
  <c r="AW29" i="1"/>
  <c r="AX28" i="1"/>
  <c r="AW28" i="1"/>
  <c r="AX27" i="1"/>
  <c r="AW27" i="1"/>
  <c r="AX26" i="1"/>
  <c r="AW26" i="1"/>
  <c r="AX25" i="1"/>
  <c r="AW25" i="1"/>
  <c r="AX24" i="1"/>
  <c r="AW24" i="1"/>
  <c r="AM53" i="1"/>
  <c r="AL53" i="1"/>
  <c r="AM52" i="1"/>
  <c r="AL52" i="1"/>
  <c r="AM51" i="1"/>
  <c r="AL51" i="1"/>
  <c r="AM50" i="1"/>
  <c r="AL50" i="1"/>
  <c r="AM49" i="1"/>
  <c r="AL49" i="1"/>
  <c r="AM48" i="1"/>
  <c r="AL48" i="1"/>
  <c r="AM47" i="1"/>
  <c r="AL47" i="1"/>
  <c r="AM46" i="1"/>
  <c r="AL46" i="1"/>
  <c r="AM45" i="1"/>
  <c r="AL45" i="1"/>
  <c r="AM44" i="1"/>
  <c r="AL44" i="1"/>
  <c r="AM43" i="1"/>
  <c r="AL43" i="1"/>
  <c r="AM42" i="1"/>
  <c r="AL42" i="1"/>
  <c r="AM41" i="1"/>
  <c r="AL41" i="1"/>
  <c r="AM40" i="1"/>
  <c r="AL40" i="1"/>
  <c r="AM39" i="1"/>
  <c r="AL39" i="1"/>
  <c r="AM38" i="1"/>
  <c r="AL38" i="1"/>
  <c r="AM37" i="1"/>
  <c r="AL37" i="1"/>
  <c r="AM36" i="1"/>
  <c r="AL36" i="1"/>
  <c r="AM35" i="1"/>
  <c r="AL35" i="1"/>
  <c r="AM34" i="1"/>
  <c r="AL34" i="1"/>
  <c r="AM33" i="1"/>
  <c r="AL33" i="1"/>
  <c r="AM32" i="1"/>
  <c r="AL32" i="1"/>
  <c r="AM31" i="1"/>
  <c r="AL31" i="1"/>
  <c r="AM30" i="1"/>
  <c r="AL30" i="1"/>
  <c r="AM29" i="1"/>
  <c r="AL29" i="1"/>
  <c r="AM28" i="1"/>
  <c r="AL28" i="1"/>
  <c r="AM27" i="1"/>
  <c r="AL27" i="1"/>
  <c r="AM26" i="1"/>
  <c r="AL26" i="1"/>
  <c r="AM25" i="1"/>
  <c r="AL25" i="1"/>
  <c r="AM24" i="1"/>
  <c r="AL2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R26" i="1"/>
  <c r="Q26" i="1"/>
  <c r="R25" i="1"/>
  <c r="Q25" i="1"/>
  <c r="R24" i="1"/>
  <c r="Q24" i="1"/>
  <c r="H26" i="1"/>
  <c r="G26" i="1"/>
  <c r="H25" i="1"/>
  <c r="G25" i="1"/>
  <c r="H24" i="1"/>
  <c r="G2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L66" i="1"/>
  <c r="AL67" i="1"/>
  <c r="AL68" i="1"/>
  <c r="AL69" i="1"/>
  <c r="AL70" i="1"/>
  <c r="AL71" i="1"/>
  <c r="AL72" i="1"/>
  <c r="AL73" i="1"/>
  <c r="AM66" i="1"/>
  <c r="AM67" i="1"/>
  <c r="AM68" i="1"/>
  <c r="AM69" i="1"/>
  <c r="AM70" i="1"/>
  <c r="AM71" i="1"/>
  <c r="AM72" i="1"/>
  <c r="AM73" i="1"/>
  <c r="AX66" i="1"/>
  <c r="AX67" i="1"/>
  <c r="AX68" i="1"/>
  <c r="AX69" i="1"/>
  <c r="AX70" i="1"/>
  <c r="AX71" i="1"/>
  <c r="AX72" i="1"/>
  <c r="AX73" i="1"/>
  <c r="AW66" i="1"/>
  <c r="AW67" i="1"/>
  <c r="AW68" i="1"/>
  <c r="AW69" i="1"/>
  <c r="AW70" i="1"/>
  <c r="AW71" i="1"/>
  <c r="AW72" i="1"/>
  <c r="AW73" i="1"/>
  <c r="R68" i="1"/>
  <c r="R69" i="1"/>
  <c r="R70" i="1"/>
  <c r="R71" i="1"/>
  <c r="R72" i="1"/>
  <c r="R73" i="1"/>
  <c r="Q67" i="1"/>
  <c r="Q68" i="1"/>
  <c r="Q69" i="1"/>
  <c r="Q70" i="1"/>
  <c r="Q71" i="1"/>
  <c r="Q72" i="1"/>
  <c r="Q73" i="1"/>
  <c r="R67" i="1"/>
  <c r="R66" i="1"/>
  <c r="Q66" i="1"/>
  <c r="AX23" i="1"/>
  <c r="AW23" i="1"/>
  <c r="AX22" i="1"/>
  <c r="AW22" i="1"/>
  <c r="AX21" i="1"/>
  <c r="AW21" i="1"/>
  <c r="AX20" i="1"/>
  <c r="AW20" i="1"/>
  <c r="AX19" i="1"/>
  <c r="AW19" i="1"/>
  <c r="AX18" i="1"/>
  <c r="AW18" i="1"/>
  <c r="AX17" i="1"/>
  <c r="AW17" i="1"/>
  <c r="AX16" i="1"/>
  <c r="AW16" i="1"/>
  <c r="AX15" i="1"/>
  <c r="AW15" i="1"/>
  <c r="AX14" i="1"/>
  <c r="AW14" i="1"/>
  <c r="AM23" i="1"/>
  <c r="AL23" i="1"/>
  <c r="AM22" i="1"/>
  <c r="AL22" i="1"/>
  <c r="AM21" i="1"/>
  <c r="AL21" i="1"/>
  <c r="AM20" i="1"/>
  <c r="AL20" i="1"/>
  <c r="AM19" i="1"/>
  <c r="AL19" i="1"/>
  <c r="AM18" i="1"/>
  <c r="AL18" i="1"/>
  <c r="AM17" i="1"/>
  <c r="AL17" i="1"/>
  <c r="AM16" i="1"/>
  <c r="AL16" i="1"/>
  <c r="AM15" i="1"/>
  <c r="AL15" i="1"/>
  <c r="AM14" i="1"/>
  <c r="AL1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AA133" i="1"/>
  <c r="AX65" i="1"/>
  <c r="AW65" i="1"/>
  <c r="AX64" i="1"/>
  <c r="AW64" i="1"/>
  <c r="AX63" i="1"/>
  <c r="AW63" i="1"/>
  <c r="AX62" i="1"/>
  <c r="AW62" i="1"/>
  <c r="AX61" i="1"/>
  <c r="AW61" i="1"/>
  <c r="AX60" i="1"/>
  <c r="AW60" i="1"/>
  <c r="AX59" i="1"/>
  <c r="AW59" i="1"/>
  <c r="AX58" i="1"/>
  <c r="AW58" i="1"/>
  <c r="AM65" i="1"/>
  <c r="AL65" i="1"/>
  <c r="AM64" i="1"/>
  <c r="AL64" i="1"/>
  <c r="AM63" i="1"/>
  <c r="AL63" i="1"/>
  <c r="AM62" i="1"/>
  <c r="AL62" i="1"/>
  <c r="AM61" i="1"/>
  <c r="AL61" i="1"/>
  <c r="AM60" i="1"/>
  <c r="AL60" i="1"/>
  <c r="AM59" i="1"/>
  <c r="AL59" i="1"/>
  <c r="AM58" i="1"/>
  <c r="AL58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R65" i="1"/>
  <c r="Q65" i="1"/>
  <c r="R64" i="1"/>
  <c r="Q64" i="1"/>
  <c r="R63" i="1"/>
  <c r="Q63" i="1"/>
  <c r="R62" i="1"/>
  <c r="Q62" i="1"/>
  <c r="R61" i="1"/>
  <c r="Q61" i="1"/>
  <c r="R60" i="1"/>
  <c r="Q60" i="1"/>
  <c r="R59" i="1"/>
  <c r="Q59" i="1"/>
  <c r="R58" i="1"/>
  <c r="Q58" i="1"/>
  <c r="H58" i="1"/>
  <c r="H59" i="1"/>
  <c r="H60" i="1"/>
  <c r="H61" i="1"/>
  <c r="H62" i="1"/>
  <c r="H63" i="1"/>
  <c r="H64" i="1"/>
  <c r="H65" i="1"/>
  <c r="G58" i="1"/>
  <c r="G59" i="1"/>
  <c r="G60" i="1"/>
  <c r="G61" i="1"/>
  <c r="G62" i="1"/>
  <c r="G63" i="1"/>
  <c r="G64" i="1"/>
  <c r="G65" i="1"/>
  <c r="AX84" i="1" l="1"/>
  <c r="AW84" i="1"/>
  <c r="AX83" i="1"/>
  <c r="AW83" i="1"/>
  <c r="AX82" i="1"/>
  <c r="AW82" i="1"/>
  <c r="AM84" i="1"/>
  <c r="AL84" i="1"/>
  <c r="AM83" i="1"/>
  <c r="AL83" i="1"/>
  <c r="AM82" i="1"/>
  <c r="AL82" i="1"/>
  <c r="AB84" i="1"/>
  <c r="AA84" i="1"/>
  <c r="AB83" i="1"/>
  <c r="AA83" i="1"/>
  <c r="AB82" i="1"/>
  <c r="AA82" i="1"/>
  <c r="R84" i="1"/>
  <c r="Q84" i="1"/>
  <c r="R83" i="1"/>
  <c r="Q83" i="1"/>
  <c r="R82" i="1"/>
  <c r="Q82" i="1"/>
  <c r="H84" i="1"/>
  <c r="G84" i="1"/>
  <c r="H83" i="1"/>
  <c r="G83" i="1"/>
  <c r="H82" i="1"/>
  <c r="G82" i="1"/>
  <c r="AX133" i="1"/>
  <c r="AW133" i="1"/>
  <c r="AX132" i="1"/>
  <c r="AW132" i="1"/>
  <c r="AX131" i="1"/>
  <c r="AW131" i="1"/>
  <c r="AX130" i="1"/>
  <c r="AW130" i="1"/>
  <c r="AX129" i="1"/>
  <c r="AW129" i="1"/>
  <c r="AX128" i="1"/>
  <c r="AW128" i="1"/>
  <c r="AX127" i="1"/>
  <c r="AW127" i="1"/>
  <c r="AX126" i="1"/>
  <c r="AW126" i="1"/>
  <c r="AM133" i="1"/>
  <c r="AL133" i="1"/>
  <c r="AM132" i="1"/>
  <c r="AL132" i="1"/>
  <c r="AM131" i="1"/>
  <c r="AL131" i="1"/>
  <c r="AM130" i="1"/>
  <c r="AL130" i="1"/>
  <c r="AM129" i="1"/>
  <c r="AL129" i="1"/>
  <c r="AM128" i="1"/>
  <c r="AL128" i="1"/>
  <c r="AM127" i="1"/>
  <c r="AL127" i="1"/>
  <c r="AM126" i="1"/>
  <c r="AL126" i="1"/>
  <c r="AB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R133" i="1"/>
  <c r="Q133" i="1"/>
  <c r="R132" i="1"/>
  <c r="Q132" i="1"/>
  <c r="R131" i="1"/>
  <c r="Q131" i="1"/>
  <c r="R130" i="1"/>
  <c r="Q130" i="1"/>
  <c r="R129" i="1"/>
  <c r="Q129" i="1"/>
  <c r="R128" i="1"/>
  <c r="Q128" i="1"/>
  <c r="R127" i="1"/>
  <c r="Q127" i="1"/>
  <c r="R126" i="1"/>
  <c r="Q126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AX125" i="1" l="1"/>
  <c r="AW125" i="1"/>
  <c r="AX124" i="1"/>
  <c r="AW124" i="1"/>
  <c r="AX123" i="1"/>
  <c r="AW123" i="1"/>
  <c r="AX122" i="1"/>
  <c r="AW122" i="1"/>
  <c r="AX121" i="1"/>
  <c r="AW121" i="1"/>
  <c r="AX120" i="1"/>
  <c r="AW120" i="1"/>
  <c r="AX119" i="1"/>
  <c r="AW119" i="1"/>
  <c r="AX118" i="1"/>
  <c r="AW118" i="1"/>
  <c r="AX96" i="1"/>
  <c r="AW96" i="1"/>
  <c r="AX95" i="1"/>
  <c r="AW95" i="1"/>
  <c r="AX94" i="1"/>
  <c r="AW94" i="1"/>
  <c r="AX93" i="1"/>
  <c r="AW93" i="1"/>
  <c r="AX92" i="1"/>
  <c r="AW92" i="1"/>
  <c r="AX91" i="1"/>
  <c r="AW91" i="1"/>
  <c r="AX90" i="1"/>
  <c r="AW90" i="1"/>
  <c r="AX89" i="1"/>
  <c r="AW89" i="1"/>
  <c r="AX88" i="1"/>
  <c r="AW88" i="1"/>
  <c r="AX87" i="1"/>
  <c r="AW87" i="1"/>
  <c r="AX86" i="1"/>
  <c r="AW86" i="1"/>
  <c r="AX85" i="1"/>
  <c r="AW85" i="1"/>
  <c r="AM125" i="1"/>
  <c r="AL125" i="1"/>
  <c r="AM124" i="1"/>
  <c r="AL124" i="1"/>
  <c r="AM123" i="1"/>
  <c r="AL123" i="1"/>
  <c r="AM122" i="1"/>
  <c r="AL122" i="1"/>
  <c r="AM121" i="1"/>
  <c r="AL121" i="1"/>
  <c r="AM120" i="1"/>
  <c r="AL120" i="1"/>
  <c r="AM119" i="1"/>
  <c r="AL119" i="1"/>
  <c r="AM118" i="1"/>
  <c r="AL118" i="1"/>
  <c r="AM96" i="1"/>
  <c r="AL96" i="1"/>
  <c r="AM95" i="1"/>
  <c r="AL95" i="1"/>
  <c r="AM94" i="1"/>
  <c r="AL94" i="1"/>
  <c r="AM93" i="1"/>
  <c r="AL93" i="1"/>
  <c r="AM92" i="1"/>
  <c r="AL92" i="1"/>
  <c r="AM91" i="1"/>
  <c r="AL91" i="1"/>
  <c r="AM90" i="1"/>
  <c r="AL90" i="1"/>
  <c r="AM89" i="1"/>
  <c r="AL89" i="1"/>
  <c r="AM88" i="1"/>
  <c r="AL88" i="1"/>
  <c r="AM87" i="1"/>
  <c r="AL87" i="1"/>
  <c r="AM86" i="1"/>
  <c r="AL86" i="1"/>
  <c r="AM85" i="1"/>
  <c r="AL85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R125" i="1"/>
  <c r="Q125" i="1"/>
  <c r="R124" i="1"/>
  <c r="Q124" i="1"/>
  <c r="R123" i="1"/>
  <c r="Q123" i="1"/>
  <c r="R122" i="1"/>
  <c r="Q122" i="1"/>
  <c r="R121" i="1"/>
  <c r="Q121" i="1"/>
  <c r="R120" i="1"/>
  <c r="Q120" i="1"/>
  <c r="R119" i="1"/>
  <c r="Q119" i="1"/>
  <c r="R118" i="1"/>
  <c r="Q118" i="1"/>
  <c r="R96" i="1"/>
  <c r="Q96" i="1"/>
  <c r="R95" i="1"/>
  <c r="Q95" i="1"/>
  <c r="R94" i="1"/>
  <c r="Q94" i="1"/>
  <c r="R93" i="1"/>
  <c r="Q93" i="1"/>
  <c r="R92" i="1"/>
  <c r="Q92" i="1"/>
  <c r="R91" i="1"/>
  <c r="Q91" i="1"/>
  <c r="R90" i="1"/>
  <c r="Q90" i="1"/>
  <c r="R89" i="1"/>
  <c r="Q89" i="1"/>
  <c r="R88" i="1"/>
  <c r="Q88" i="1"/>
  <c r="R87" i="1"/>
  <c r="Q87" i="1"/>
  <c r="R86" i="1"/>
  <c r="Q86" i="1"/>
  <c r="R85" i="1"/>
  <c r="Q85" i="1"/>
  <c r="H125" i="1" l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AX81" i="1" l="1"/>
  <c r="AW81" i="1"/>
  <c r="AX80" i="1"/>
  <c r="AW80" i="1"/>
  <c r="AX79" i="1"/>
  <c r="AW79" i="1"/>
  <c r="AX78" i="1"/>
  <c r="AW78" i="1"/>
  <c r="AX77" i="1"/>
  <c r="AW77" i="1"/>
  <c r="AX76" i="1"/>
  <c r="AW76" i="1"/>
  <c r="AX75" i="1"/>
  <c r="AW75" i="1"/>
  <c r="AX74" i="1"/>
  <c r="AW74" i="1"/>
  <c r="AX57" i="1"/>
  <c r="AW57" i="1"/>
  <c r="AX56" i="1"/>
  <c r="AW56" i="1"/>
  <c r="AX55" i="1"/>
  <c r="AW55" i="1"/>
  <c r="AX54" i="1"/>
  <c r="AW54" i="1"/>
  <c r="AX13" i="1"/>
  <c r="AW13" i="1"/>
  <c r="AX12" i="1"/>
  <c r="AW12" i="1"/>
  <c r="AX11" i="1"/>
  <c r="AW11" i="1"/>
  <c r="AX10" i="1"/>
  <c r="AW10" i="1"/>
  <c r="AX9" i="1"/>
  <c r="AW9" i="1"/>
  <c r="AX8" i="1"/>
  <c r="AW8" i="1"/>
  <c r="AX7" i="1"/>
  <c r="AW7" i="1"/>
  <c r="AX6" i="1"/>
  <c r="AW6" i="1"/>
  <c r="AX5" i="1"/>
  <c r="AW5" i="1"/>
  <c r="AX4" i="1"/>
  <c r="AW4" i="1"/>
  <c r="AX3" i="1"/>
  <c r="AW3" i="1"/>
  <c r="AX2" i="1"/>
  <c r="AW2" i="1"/>
  <c r="AW134" i="1" l="1"/>
  <c r="AX134" i="1"/>
  <c r="AM13" i="1"/>
  <c r="AL13" i="1"/>
  <c r="H13" i="1"/>
  <c r="G13" i="1"/>
  <c r="R13" i="1"/>
  <c r="Q13" i="1"/>
  <c r="AM81" i="1"/>
  <c r="AL81" i="1"/>
  <c r="AM80" i="1"/>
  <c r="AL80" i="1"/>
  <c r="AM79" i="1"/>
  <c r="AL79" i="1"/>
  <c r="AM78" i="1"/>
  <c r="AL78" i="1"/>
  <c r="AM77" i="1"/>
  <c r="AL77" i="1"/>
  <c r="AM76" i="1"/>
  <c r="AL76" i="1"/>
  <c r="AM75" i="1"/>
  <c r="AL75" i="1"/>
  <c r="AM74" i="1"/>
  <c r="AL74" i="1"/>
  <c r="AM57" i="1"/>
  <c r="AL57" i="1"/>
  <c r="AM56" i="1"/>
  <c r="AL56" i="1"/>
  <c r="R81" i="1"/>
  <c r="Q81" i="1"/>
  <c r="R80" i="1"/>
  <c r="Q80" i="1"/>
  <c r="R79" i="1"/>
  <c r="Q79" i="1"/>
  <c r="R78" i="1"/>
  <c r="Q78" i="1"/>
  <c r="R77" i="1"/>
  <c r="Q77" i="1"/>
  <c r="R76" i="1"/>
  <c r="Q76" i="1"/>
  <c r="R75" i="1"/>
  <c r="Q75" i="1"/>
  <c r="R74" i="1"/>
  <c r="Q74" i="1"/>
  <c r="R57" i="1"/>
  <c r="Q57" i="1"/>
  <c r="R56" i="1"/>
  <c r="Q56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57" i="1"/>
  <c r="G57" i="1"/>
  <c r="H56" i="1"/>
  <c r="G56" i="1"/>
  <c r="Q54" i="1"/>
  <c r="R54" i="1"/>
  <c r="Q55" i="1"/>
  <c r="R55" i="1"/>
  <c r="AB13" i="1"/>
  <c r="AA13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57" i="1"/>
  <c r="AA57" i="1"/>
  <c r="AB56" i="1"/>
  <c r="AA56" i="1"/>
  <c r="AM55" i="1"/>
  <c r="AL55" i="1"/>
  <c r="AM54" i="1"/>
  <c r="AL54" i="1"/>
  <c r="AM12" i="1"/>
  <c r="AL12" i="1"/>
  <c r="AM11" i="1"/>
  <c r="AL11" i="1"/>
  <c r="AM10" i="1"/>
  <c r="AL10" i="1"/>
  <c r="AM9" i="1"/>
  <c r="AL9" i="1"/>
  <c r="AM8" i="1"/>
  <c r="AL8" i="1"/>
  <c r="AM7" i="1"/>
  <c r="AL7" i="1"/>
  <c r="AM6" i="1"/>
  <c r="AL6" i="1"/>
  <c r="AM5" i="1"/>
  <c r="AL5" i="1"/>
  <c r="AM4" i="1"/>
  <c r="AL4" i="1"/>
  <c r="AM3" i="1"/>
  <c r="AL3" i="1"/>
  <c r="AM2" i="1"/>
  <c r="AL2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AB55" i="1"/>
  <c r="AA55" i="1"/>
  <c r="AB54" i="1"/>
  <c r="AA54" i="1"/>
  <c r="AB5" i="1"/>
  <c r="AA5" i="1"/>
  <c r="AB4" i="1"/>
  <c r="AA4" i="1"/>
  <c r="AB3" i="1"/>
  <c r="AA3" i="1"/>
  <c r="AB2" i="1"/>
  <c r="AA2" i="1"/>
  <c r="R3" i="1"/>
  <c r="R4" i="1"/>
  <c r="R5" i="1"/>
  <c r="Q3" i="1"/>
  <c r="Q4" i="1"/>
  <c r="Q5" i="1"/>
  <c r="Q2" i="1"/>
  <c r="R2" i="1"/>
  <c r="H3" i="1"/>
  <c r="H4" i="1"/>
  <c r="H5" i="1"/>
  <c r="H54" i="1"/>
  <c r="H55" i="1"/>
  <c r="G3" i="1"/>
  <c r="G4" i="1"/>
  <c r="G5" i="1"/>
  <c r="G54" i="1"/>
  <c r="G55" i="1"/>
  <c r="H2" i="1"/>
  <c r="G2" i="1"/>
  <c r="R134" i="1" l="1"/>
  <c r="G134" i="1"/>
  <c r="H134" i="1"/>
  <c r="AA134" i="1"/>
  <c r="Q134" i="1"/>
</calcChain>
</file>

<file path=xl/sharedStrings.xml><?xml version="1.0" encoding="utf-8"?>
<sst xmlns="http://schemas.openxmlformats.org/spreadsheetml/2006/main" count="455" uniqueCount="97">
  <si>
    <t>yosef</t>
  </si>
  <si>
    <t>muhamad</t>
  </si>
  <si>
    <t>yosef2</t>
  </si>
  <si>
    <t>muhamad2</t>
  </si>
  <si>
    <t>muhamad-yosef</t>
  </si>
  <si>
    <t>Paper</t>
  </si>
  <si>
    <t>Name</t>
  </si>
  <si>
    <t>GT BR</t>
  </si>
  <si>
    <t>BR</t>
  </si>
  <si>
    <t>GT HR</t>
  </si>
  <si>
    <t>HR</t>
  </si>
  <si>
    <t>MAE BR</t>
  </si>
  <si>
    <t>MAE HR</t>
  </si>
  <si>
    <t>FMCW_Millimeter</t>
  </si>
  <si>
    <t>Vital-sign</t>
  </si>
  <si>
    <t>christian</t>
  </si>
  <si>
    <t>christian2</t>
  </si>
  <si>
    <t>christian3</t>
  </si>
  <si>
    <t>christian4</t>
  </si>
  <si>
    <t>christian5</t>
  </si>
  <si>
    <t>christian6</t>
  </si>
  <si>
    <t>christian7</t>
  </si>
  <si>
    <t>Detection_of</t>
  </si>
  <si>
    <t>BR (no BR)</t>
  </si>
  <si>
    <t>A high</t>
  </si>
  <si>
    <t>muhamad-yosef2</t>
  </si>
  <si>
    <t>yosef-muhamad</t>
  </si>
  <si>
    <t>muhamad-x-x-yosef</t>
  </si>
  <si>
    <t>yosef-x-eleonora</t>
  </si>
  <si>
    <t>x-yosef-x-eleonora</t>
  </si>
  <si>
    <t>x-eleonora</t>
  </si>
  <si>
    <t>Remote Monitoring</t>
  </si>
  <si>
    <t>yosef-muhamad-vasile</t>
  </si>
  <si>
    <t>x-vasile-yosef-muhamad</t>
  </si>
  <si>
    <t>yosef-x-muhamad-vasile</t>
  </si>
  <si>
    <t>muhamad-vasile-x-yosef</t>
  </si>
  <si>
    <t>christian-muhamad-yosef-vasile</t>
  </si>
  <si>
    <t>christian-vasile-muhamad-yosef</t>
  </si>
  <si>
    <t>christian-daniele-muhamad-yosef</t>
  </si>
  <si>
    <t>christian-yosef-muhamad-daniele</t>
  </si>
  <si>
    <t>christian-x-muhamad-yosef</t>
  </si>
  <si>
    <t xml:space="preserve">BR </t>
  </si>
  <si>
    <t>muhamad-yosef3</t>
  </si>
  <si>
    <t>muhamad-yosef4</t>
  </si>
  <si>
    <t>muhamad-yosef5</t>
  </si>
  <si>
    <t>muhamad-yosef6</t>
  </si>
  <si>
    <t>christian-x-x-x</t>
  </si>
  <si>
    <t>christian-x-x-x2</t>
  </si>
  <si>
    <t>christian-x-x-x3</t>
  </si>
  <si>
    <t>christian-x-x-x4</t>
  </si>
  <si>
    <t>christian-x-x-x5</t>
  </si>
  <si>
    <t>christian-x-x-x6</t>
  </si>
  <si>
    <t>christian-x-x-x7</t>
  </si>
  <si>
    <t>christian-x-x-x8</t>
  </si>
  <si>
    <t>christian-x-x-x9</t>
  </si>
  <si>
    <t>christian-x-x-x10</t>
  </si>
  <si>
    <t>muhamad-yosef7</t>
  </si>
  <si>
    <t>muhamad-yosef8</t>
  </si>
  <si>
    <t>muhamad-yosef9</t>
  </si>
  <si>
    <t>muhamad-yosef10</t>
  </si>
  <si>
    <t>x-christian-x-x</t>
  </si>
  <si>
    <t>x-christian-x-x2</t>
  </si>
  <si>
    <t>x-christian-x-x3</t>
  </si>
  <si>
    <t>x-christian-x-x4</t>
  </si>
  <si>
    <t>x-christian-x-x5</t>
  </si>
  <si>
    <t>x-christian-x-x6</t>
  </si>
  <si>
    <t>x-christian-x-x7</t>
  </si>
  <si>
    <t>x-christian-x-x8</t>
  </si>
  <si>
    <t>x-christian-x-x9</t>
  </si>
  <si>
    <t>x-christian-x-x10</t>
  </si>
  <si>
    <t>x-x-christian-x</t>
  </si>
  <si>
    <t>x-x-christian-x2</t>
  </si>
  <si>
    <t>x-x-christian-x3</t>
  </si>
  <si>
    <t>x-x-christian-x4</t>
  </si>
  <si>
    <t>x-x-christian-x5</t>
  </si>
  <si>
    <t>x-x-christian-x6</t>
  </si>
  <si>
    <t>x-x-christian-x7</t>
  </si>
  <si>
    <t>x-x-christian-x8</t>
  </si>
  <si>
    <t>x-x-christian-x9</t>
  </si>
  <si>
    <t>x-x-christian-x10</t>
  </si>
  <si>
    <t>x-x-x-christian</t>
  </si>
  <si>
    <t>x-x-x-christian2</t>
  </si>
  <si>
    <t>x-x-x-christian3</t>
  </si>
  <si>
    <t>x-x-x-christian4</t>
  </si>
  <si>
    <t>x-x-x-christian5</t>
  </si>
  <si>
    <t>x-x-x-christian6</t>
  </si>
  <si>
    <t>x-x-x-christian7</t>
  </si>
  <si>
    <t>x-x-x-christian8</t>
  </si>
  <si>
    <t>x-x-x-christian9</t>
  </si>
  <si>
    <t>x-x-x-christian10</t>
  </si>
  <si>
    <t>yosef-muhamad-michael</t>
  </si>
  <si>
    <t>yosef-muhamad-michael2</t>
  </si>
  <si>
    <t>yosef-muhamad-michael3</t>
  </si>
  <si>
    <t>yosef-muhamad-michael4</t>
  </si>
  <si>
    <t>christian-yosef-muhamad</t>
  </si>
  <si>
    <t>vasile-yosef-muhamad</t>
  </si>
  <si>
    <t>vasile-yosef-muhamad2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</si>
</sst>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2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8" xfId="0" applyFill="1" applyBorder="1"/>
    <xf numFmtId="3" fontId="0" fillId="0" borderId="9" xfId="0" applyNumberFormat="1" applyBorder="1"/>
    <xf numFmtId="0" fontId="0" fillId="3" borderId="9" xfId="0" applyFill="1" applyBorder="1"/>
    <xf numFmtId="0" fontId="0" fillId="0" borderId="0" xfId="0" applyFill="1" applyBorder="1"/>
    <xf numFmtId="0" fontId="0" fillId="0" borderId="0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34"/>
  <sheetViews>
    <sheetView tabSelected="1" topLeftCell="E130" zoomScale="115" zoomScaleNormal="115" workbookViewId="0">
      <selection activeCell="N154" sqref="N154"/>
    </sheetView>
  </sheetViews>
  <sheetFormatPr defaultRowHeight="15" x14ac:dyDescent="0.25"/>
  <cols>
    <col min="1" max="1" width="18.85546875" customWidth="1"/>
    <col min="2" max="2" width="31.7109375" customWidth="1"/>
    <col min="8" max="8" width="10.5703125" customWidth="1"/>
    <col min="9" max="9" width="11.28515625" customWidth="1"/>
    <col min="11" max="11" width="17.42578125" customWidth="1"/>
    <col min="12" max="12" width="31.140625" customWidth="1"/>
    <col min="18" max="18" width="8.7109375" customWidth="1"/>
    <col min="21" max="21" width="16" customWidth="1"/>
    <col min="22" max="22" width="31.28515625" customWidth="1"/>
    <col min="24" max="24" width="9" customWidth="1"/>
    <col min="28" max="28" width="9.140625" customWidth="1"/>
    <col min="32" max="32" width="8" customWidth="1"/>
    <col min="33" max="33" width="30" customWidth="1"/>
    <col min="35" max="35" width="10.28515625" customWidth="1"/>
    <col min="43" max="43" width="18.5703125" customWidth="1"/>
    <col min="44" max="44" width="31.5703125" customWidth="1"/>
    <col min="48" max="48" width="9.140625" customWidth="1"/>
    <col min="49" max="49" width="9.85546875" customWidth="1"/>
  </cols>
  <sheetData>
    <row r="1" spans="1:50" x14ac:dyDescent="0.25">
      <c r="A1" s="1" t="s">
        <v>5</v>
      </c>
      <c r="B1" s="15" t="s">
        <v>6</v>
      </c>
      <c r="C1" s="15" t="s">
        <v>7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12</v>
      </c>
      <c r="K1" s="1" t="s">
        <v>5</v>
      </c>
      <c r="L1" s="15" t="s">
        <v>6</v>
      </c>
      <c r="M1" s="15" t="s">
        <v>7</v>
      </c>
      <c r="N1" s="15" t="s">
        <v>8</v>
      </c>
      <c r="O1" s="15" t="s">
        <v>9</v>
      </c>
      <c r="P1" s="15" t="s">
        <v>10</v>
      </c>
      <c r="Q1" s="15" t="s">
        <v>11</v>
      </c>
      <c r="R1" s="15" t="s">
        <v>12</v>
      </c>
      <c r="U1" s="1" t="s">
        <v>5</v>
      </c>
      <c r="V1" s="15" t="s">
        <v>6</v>
      </c>
      <c r="W1" s="15" t="s">
        <v>7</v>
      </c>
      <c r="X1" s="15" t="s">
        <v>41</v>
      </c>
      <c r="Y1" s="15" t="s">
        <v>9</v>
      </c>
      <c r="Z1" s="15" t="s">
        <v>10</v>
      </c>
      <c r="AA1" s="15" t="s">
        <v>11</v>
      </c>
      <c r="AB1" s="15" t="s">
        <v>12</v>
      </c>
      <c r="AF1" s="1" t="s">
        <v>5</v>
      </c>
      <c r="AG1" s="15" t="s">
        <v>6</v>
      </c>
      <c r="AH1" s="15" t="s">
        <v>7</v>
      </c>
      <c r="AI1" s="15" t="s">
        <v>23</v>
      </c>
      <c r="AJ1" s="15" t="s">
        <v>9</v>
      </c>
      <c r="AK1" s="15" t="s">
        <v>10</v>
      </c>
      <c r="AL1" s="15" t="s">
        <v>11</v>
      </c>
      <c r="AM1" s="15" t="s">
        <v>12</v>
      </c>
      <c r="AQ1" s="1" t="s">
        <v>5</v>
      </c>
      <c r="AR1" s="15" t="s">
        <v>6</v>
      </c>
      <c r="AS1" s="15" t="s">
        <v>7</v>
      </c>
      <c r="AT1" s="15" t="s">
        <v>8</v>
      </c>
      <c r="AU1" s="15" t="s">
        <v>9</v>
      </c>
      <c r="AV1" s="15" t="s">
        <v>10</v>
      </c>
      <c r="AW1" s="15" t="s">
        <v>11</v>
      </c>
      <c r="AX1" s="15" t="s">
        <v>12</v>
      </c>
    </row>
    <row r="2" spans="1:50" x14ac:dyDescent="0.25">
      <c r="A2" s="14" t="s">
        <v>14</v>
      </c>
      <c r="B2" s="14" t="s">
        <v>0</v>
      </c>
      <c r="C2" s="9">
        <v>17</v>
      </c>
      <c r="D2" s="9">
        <v>17</v>
      </c>
      <c r="E2" s="9">
        <v>105</v>
      </c>
      <c r="F2" s="9">
        <v>91.3</v>
      </c>
      <c r="G2" s="9">
        <f>ABS(C2-D2)</f>
        <v>0</v>
      </c>
      <c r="H2" s="10">
        <f>ABS(E2-F2)</f>
        <v>13.700000000000003</v>
      </c>
      <c r="K2" s="14" t="s">
        <v>13</v>
      </c>
      <c r="L2" s="14" t="s">
        <v>0</v>
      </c>
      <c r="M2" s="9">
        <v>17</v>
      </c>
      <c r="N2" s="9">
        <v>17.100000000000001</v>
      </c>
      <c r="O2" s="9">
        <v>105</v>
      </c>
      <c r="P2" s="9">
        <v>102.5</v>
      </c>
      <c r="Q2" s="9">
        <f>ABS(M2-N2)</f>
        <v>0.10000000000000142</v>
      </c>
      <c r="R2" s="10">
        <f>ABS(O2-P2)</f>
        <v>2.5</v>
      </c>
      <c r="U2" s="14" t="s">
        <v>22</v>
      </c>
      <c r="V2" s="14" t="s">
        <v>0</v>
      </c>
      <c r="W2" s="9">
        <v>17</v>
      </c>
      <c r="X2" s="9">
        <v>16.8</v>
      </c>
      <c r="Y2" s="9">
        <v>105</v>
      </c>
      <c r="Z2" s="9">
        <v>102.5</v>
      </c>
      <c r="AA2" s="9">
        <f>ABS(W2-X2)</f>
        <v>0.19999999999999929</v>
      </c>
      <c r="AB2" s="10">
        <f>ABS(Y2-Z2)</f>
        <v>2.5</v>
      </c>
      <c r="AF2" s="14" t="s">
        <v>24</v>
      </c>
      <c r="AG2" s="14" t="s">
        <v>0</v>
      </c>
      <c r="AH2" s="9">
        <v>17</v>
      </c>
      <c r="AI2" s="9"/>
      <c r="AJ2" s="9">
        <v>105</v>
      </c>
      <c r="AK2" s="9">
        <v>86.7</v>
      </c>
      <c r="AL2" s="9">
        <f>ABS(AH2-AI2)</f>
        <v>17</v>
      </c>
      <c r="AM2" s="10">
        <f>ABS(AJ2-AK2)</f>
        <v>18.299999999999997</v>
      </c>
      <c r="AQ2" s="14" t="s">
        <v>31</v>
      </c>
      <c r="AR2" s="14" t="s">
        <v>0</v>
      </c>
      <c r="AS2" s="9">
        <v>17</v>
      </c>
      <c r="AT2" s="9">
        <v>17</v>
      </c>
      <c r="AU2" s="9">
        <v>105</v>
      </c>
      <c r="AV2" s="9">
        <v>104.4</v>
      </c>
      <c r="AW2" s="9">
        <f>ABS(AS2-AT2)</f>
        <v>0</v>
      </c>
      <c r="AX2" s="10">
        <f>ABS(AU2-AV2)</f>
        <v>0.59999999999999432</v>
      </c>
    </row>
    <row r="3" spans="1:50" x14ac:dyDescent="0.25">
      <c r="B3" s="14" t="s">
        <v>1</v>
      </c>
      <c r="C3" s="9">
        <v>12</v>
      </c>
      <c r="D3" s="9">
        <v>11</v>
      </c>
      <c r="E3" s="9">
        <v>71</v>
      </c>
      <c r="F3" s="9">
        <v>65</v>
      </c>
      <c r="G3" s="9">
        <f t="shared" ref="G3:G12" si="0">ABS(C3-D3)</f>
        <v>1</v>
      </c>
      <c r="H3" s="10">
        <f t="shared" ref="H3:H12" si="1">ABS(E3-F3)</f>
        <v>6</v>
      </c>
      <c r="L3" s="14" t="s">
        <v>1</v>
      </c>
      <c r="M3" s="9">
        <v>12</v>
      </c>
      <c r="N3" s="9">
        <v>11.8</v>
      </c>
      <c r="O3" s="9">
        <v>71</v>
      </c>
      <c r="P3" s="9">
        <v>82.5</v>
      </c>
      <c r="Q3" s="9">
        <f t="shared" ref="Q3:Q12" si="2">ABS(M3-N3)</f>
        <v>0.19999999999999929</v>
      </c>
      <c r="R3" s="10">
        <f t="shared" ref="R3:R12" si="3">ABS(O3-P3)</f>
        <v>11.5</v>
      </c>
      <c r="V3" s="14" t="s">
        <v>1</v>
      </c>
      <c r="W3" s="9">
        <v>12</v>
      </c>
      <c r="X3" s="9">
        <v>10.199999999999999</v>
      </c>
      <c r="Y3" s="9">
        <v>71</v>
      </c>
      <c r="Z3" s="9">
        <v>110.6</v>
      </c>
      <c r="AA3" s="9">
        <f t="shared" ref="AA3:AA12" si="4">ABS(W3-X3)</f>
        <v>1.8000000000000007</v>
      </c>
      <c r="AB3" s="10">
        <f t="shared" ref="AB3:AB12" si="5">ABS(Y3-Z3)</f>
        <v>39.599999999999994</v>
      </c>
      <c r="AG3" s="14" t="s">
        <v>1</v>
      </c>
      <c r="AH3" s="9">
        <v>12</v>
      </c>
      <c r="AI3" s="9"/>
      <c r="AJ3" s="9">
        <v>71</v>
      </c>
      <c r="AK3" s="9">
        <v>81</v>
      </c>
      <c r="AL3" s="9">
        <f t="shared" ref="AL3:AL12" si="6">ABS(AH3-AI3)</f>
        <v>12</v>
      </c>
      <c r="AM3" s="10">
        <f t="shared" ref="AM3:AM12" si="7">ABS(AJ3-AK3)</f>
        <v>10</v>
      </c>
      <c r="AR3" s="14" t="s">
        <v>1</v>
      </c>
      <c r="AS3" s="9">
        <v>12</v>
      </c>
      <c r="AT3" s="9">
        <v>11</v>
      </c>
      <c r="AU3" s="9">
        <v>71</v>
      </c>
      <c r="AV3" s="9">
        <v>80</v>
      </c>
      <c r="AW3" s="9">
        <f t="shared" ref="AW3:AW12" si="8">ABS(AS3-AT3)</f>
        <v>1</v>
      </c>
      <c r="AX3" s="10">
        <f t="shared" ref="AX3:AX12" si="9">ABS(AU3-AV3)</f>
        <v>9</v>
      </c>
    </row>
    <row r="4" spans="1:50" x14ac:dyDescent="0.25">
      <c r="B4" s="14" t="s">
        <v>2</v>
      </c>
      <c r="C4" s="9">
        <v>16.5</v>
      </c>
      <c r="D4" s="9">
        <v>16</v>
      </c>
      <c r="E4" s="9">
        <v>100</v>
      </c>
      <c r="F4" s="9">
        <v>103</v>
      </c>
      <c r="G4" s="9">
        <f t="shared" si="0"/>
        <v>0.5</v>
      </c>
      <c r="H4" s="10">
        <f t="shared" si="1"/>
        <v>3</v>
      </c>
      <c r="L4" s="14" t="s">
        <v>2</v>
      </c>
      <c r="M4" s="9">
        <v>16.5</v>
      </c>
      <c r="N4" s="9">
        <v>16.7</v>
      </c>
      <c r="O4" s="9">
        <v>100</v>
      </c>
      <c r="P4" s="9">
        <v>100</v>
      </c>
      <c r="Q4" s="9">
        <f t="shared" si="2"/>
        <v>0.19999999999999929</v>
      </c>
      <c r="R4" s="10">
        <f t="shared" si="3"/>
        <v>0</v>
      </c>
      <c r="V4" s="14" t="s">
        <v>2</v>
      </c>
      <c r="W4" s="9">
        <v>16.5</v>
      </c>
      <c r="X4" s="9">
        <v>16.100000000000001</v>
      </c>
      <c r="Y4" s="9">
        <v>100</v>
      </c>
      <c r="Z4" s="9">
        <v>102.5</v>
      </c>
      <c r="AA4" s="9">
        <f t="shared" si="4"/>
        <v>0.39999999999999858</v>
      </c>
      <c r="AB4" s="10">
        <f t="shared" si="5"/>
        <v>2.5</v>
      </c>
      <c r="AG4" s="14" t="s">
        <v>2</v>
      </c>
      <c r="AH4" s="9">
        <v>16.5</v>
      </c>
      <c r="AI4" s="9"/>
      <c r="AJ4" s="9">
        <v>100</v>
      </c>
      <c r="AK4" s="9">
        <v>153.30000000000001</v>
      </c>
      <c r="AL4" s="9">
        <f t="shared" si="6"/>
        <v>16.5</v>
      </c>
      <c r="AM4" s="10">
        <f t="shared" si="7"/>
        <v>53.300000000000011</v>
      </c>
      <c r="AR4" s="14" t="s">
        <v>2</v>
      </c>
      <c r="AS4" s="9">
        <v>16.5</v>
      </c>
      <c r="AT4" s="9">
        <v>16.3</v>
      </c>
      <c r="AU4" s="9">
        <v>100</v>
      </c>
      <c r="AV4" s="9">
        <v>104</v>
      </c>
      <c r="AW4" s="9">
        <f t="shared" si="8"/>
        <v>0.19999999999999929</v>
      </c>
      <c r="AX4" s="10">
        <f t="shared" si="9"/>
        <v>4</v>
      </c>
    </row>
    <row r="5" spans="1:50" x14ac:dyDescent="0.25">
      <c r="B5" s="14" t="s">
        <v>3</v>
      </c>
      <c r="C5" s="9">
        <v>12.5</v>
      </c>
      <c r="D5" s="9">
        <v>12</v>
      </c>
      <c r="E5" s="9">
        <v>64</v>
      </c>
      <c r="F5" s="9">
        <v>84.8</v>
      </c>
      <c r="G5" s="9">
        <f t="shared" si="0"/>
        <v>0.5</v>
      </c>
      <c r="H5" s="10">
        <f t="shared" si="1"/>
        <v>20.799999999999997</v>
      </c>
      <c r="L5" s="14" t="s">
        <v>3</v>
      </c>
      <c r="M5" s="9">
        <v>12.5</v>
      </c>
      <c r="N5" s="9">
        <v>12</v>
      </c>
      <c r="O5" s="9">
        <v>64</v>
      </c>
      <c r="P5" s="9">
        <v>66</v>
      </c>
      <c r="Q5" s="9">
        <f t="shared" si="2"/>
        <v>0.5</v>
      </c>
      <c r="R5" s="10">
        <f t="shared" si="3"/>
        <v>2</v>
      </c>
      <c r="V5" s="14" t="s">
        <v>3</v>
      </c>
      <c r="W5" s="9">
        <v>12.5</v>
      </c>
      <c r="X5" s="9">
        <v>11.7</v>
      </c>
      <c r="Y5" s="9">
        <v>64</v>
      </c>
      <c r="Z5" s="9">
        <v>99.6</v>
      </c>
      <c r="AA5" s="9">
        <f t="shared" si="4"/>
        <v>0.80000000000000071</v>
      </c>
      <c r="AB5" s="10">
        <f t="shared" si="5"/>
        <v>35.599999999999994</v>
      </c>
      <c r="AG5" s="14" t="s">
        <v>3</v>
      </c>
      <c r="AH5" s="9">
        <v>12.5</v>
      </c>
      <c r="AI5" s="9"/>
      <c r="AJ5" s="9">
        <v>64</v>
      </c>
      <c r="AK5" s="9">
        <v>64.3</v>
      </c>
      <c r="AL5" s="9">
        <f t="shared" si="6"/>
        <v>12.5</v>
      </c>
      <c r="AM5" s="10">
        <f t="shared" si="7"/>
        <v>0.29999999999999716</v>
      </c>
      <c r="AR5" s="14" t="s">
        <v>3</v>
      </c>
      <c r="AS5" s="9">
        <v>12.5</v>
      </c>
      <c r="AT5" s="9">
        <v>12</v>
      </c>
      <c r="AU5" s="9">
        <v>64</v>
      </c>
      <c r="AV5" s="9">
        <v>66</v>
      </c>
      <c r="AW5" s="9">
        <f t="shared" si="8"/>
        <v>0.5</v>
      </c>
      <c r="AX5" s="10">
        <f t="shared" si="9"/>
        <v>2</v>
      </c>
    </row>
    <row r="6" spans="1:50" x14ac:dyDescent="0.25">
      <c r="B6" s="14" t="s">
        <v>15</v>
      </c>
      <c r="C6" s="9">
        <v>15</v>
      </c>
      <c r="D6" s="9">
        <v>14</v>
      </c>
      <c r="E6" s="9">
        <v>107</v>
      </c>
      <c r="F6" s="9">
        <v>104</v>
      </c>
      <c r="G6" s="9">
        <f t="shared" si="0"/>
        <v>1</v>
      </c>
      <c r="H6" s="10">
        <f t="shared" si="1"/>
        <v>3</v>
      </c>
      <c r="K6" s="11"/>
      <c r="L6" s="14" t="s">
        <v>15</v>
      </c>
      <c r="M6" s="9">
        <v>15</v>
      </c>
      <c r="N6" s="9">
        <v>13.7</v>
      </c>
      <c r="O6" s="9">
        <v>107</v>
      </c>
      <c r="P6" s="9">
        <v>105</v>
      </c>
      <c r="Q6" s="9">
        <f t="shared" si="2"/>
        <v>1.3000000000000007</v>
      </c>
      <c r="R6" s="10">
        <f t="shared" si="3"/>
        <v>2</v>
      </c>
      <c r="V6" s="14" t="s">
        <v>15</v>
      </c>
      <c r="W6" s="9">
        <v>15</v>
      </c>
      <c r="X6" s="9">
        <v>14.6</v>
      </c>
      <c r="Y6" s="9">
        <v>107</v>
      </c>
      <c r="Z6" s="9">
        <v>103.2</v>
      </c>
      <c r="AA6" s="9">
        <f t="shared" si="4"/>
        <v>0.40000000000000036</v>
      </c>
      <c r="AB6" s="10">
        <f t="shared" si="5"/>
        <v>3.7999999999999972</v>
      </c>
      <c r="AG6" s="14" t="s">
        <v>15</v>
      </c>
      <c r="AH6" s="9">
        <v>15</v>
      </c>
      <c r="AI6" s="9"/>
      <c r="AJ6" s="9">
        <v>107</v>
      </c>
      <c r="AK6" s="9">
        <v>216</v>
      </c>
      <c r="AL6" s="9">
        <f t="shared" si="6"/>
        <v>15</v>
      </c>
      <c r="AM6" s="10">
        <f t="shared" si="7"/>
        <v>109</v>
      </c>
      <c r="AR6" s="14" t="s">
        <v>15</v>
      </c>
      <c r="AS6" s="9">
        <v>15</v>
      </c>
      <c r="AT6" s="9">
        <v>14.5</v>
      </c>
      <c r="AU6" s="9">
        <v>107</v>
      </c>
      <c r="AV6" s="9">
        <v>105</v>
      </c>
      <c r="AW6" s="9">
        <f t="shared" si="8"/>
        <v>0.5</v>
      </c>
      <c r="AX6" s="10">
        <f t="shared" si="9"/>
        <v>2</v>
      </c>
    </row>
    <row r="7" spans="1:50" x14ac:dyDescent="0.25">
      <c r="B7" s="14" t="s">
        <v>16</v>
      </c>
      <c r="C7" s="9">
        <v>21.8</v>
      </c>
      <c r="D7" s="9">
        <v>21.7</v>
      </c>
      <c r="E7" s="9">
        <v>108</v>
      </c>
      <c r="F7" s="9">
        <v>94.3</v>
      </c>
      <c r="G7" s="9">
        <f t="shared" si="0"/>
        <v>0.10000000000000142</v>
      </c>
      <c r="H7" s="10">
        <f t="shared" si="1"/>
        <v>13.700000000000003</v>
      </c>
      <c r="K7" s="11"/>
      <c r="L7" s="14" t="s">
        <v>16</v>
      </c>
      <c r="M7" s="9">
        <v>21.8</v>
      </c>
      <c r="N7" s="9">
        <v>21.8</v>
      </c>
      <c r="O7" s="9">
        <v>108</v>
      </c>
      <c r="P7" s="9">
        <v>86.5</v>
      </c>
      <c r="Q7" s="9">
        <f t="shared" si="2"/>
        <v>0</v>
      </c>
      <c r="R7" s="10">
        <f t="shared" si="3"/>
        <v>21.5</v>
      </c>
      <c r="V7" s="14" t="s">
        <v>16</v>
      </c>
      <c r="W7" s="9">
        <v>21.8</v>
      </c>
      <c r="X7" s="9">
        <v>21.9</v>
      </c>
      <c r="Y7" s="9">
        <v>108</v>
      </c>
      <c r="Z7" s="9">
        <v>108</v>
      </c>
      <c r="AA7" s="17">
        <f t="shared" si="4"/>
        <v>9.9999999999997868E-2</v>
      </c>
      <c r="AB7" s="10">
        <f t="shared" si="5"/>
        <v>0</v>
      </c>
      <c r="AG7" s="14" t="s">
        <v>16</v>
      </c>
      <c r="AH7" s="9">
        <v>21.8</v>
      </c>
      <c r="AI7" s="16"/>
      <c r="AJ7" s="9">
        <v>108</v>
      </c>
      <c r="AK7" s="9">
        <v>216</v>
      </c>
      <c r="AL7" s="9">
        <f t="shared" si="6"/>
        <v>21.8</v>
      </c>
      <c r="AM7" s="10">
        <f t="shared" si="7"/>
        <v>108</v>
      </c>
      <c r="AR7" s="14" t="s">
        <v>16</v>
      </c>
      <c r="AS7" s="9">
        <v>21.8</v>
      </c>
      <c r="AT7" s="9">
        <v>21.8</v>
      </c>
      <c r="AU7" s="9">
        <v>108</v>
      </c>
      <c r="AV7" s="9">
        <v>91.8</v>
      </c>
      <c r="AW7" s="9">
        <f t="shared" si="8"/>
        <v>0</v>
      </c>
      <c r="AX7" s="10">
        <f t="shared" si="9"/>
        <v>16.200000000000003</v>
      </c>
    </row>
    <row r="8" spans="1:50" x14ac:dyDescent="0.25">
      <c r="B8" s="14" t="s">
        <v>17</v>
      </c>
      <c r="C8" s="9">
        <v>24.5</v>
      </c>
      <c r="D8" s="9">
        <v>20.5</v>
      </c>
      <c r="E8" s="9">
        <v>110</v>
      </c>
      <c r="F8" s="9">
        <v>107</v>
      </c>
      <c r="G8" s="9">
        <f t="shared" si="0"/>
        <v>4</v>
      </c>
      <c r="H8" s="10">
        <f t="shared" si="1"/>
        <v>3</v>
      </c>
      <c r="K8" s="11"/>
      <c r="L8" s="14" t="s">
        <v>17</v>
      </c>
      <c r="M8" s="9">
        <v>24.5</v>
      </c>
      <c r="N8" s="9">
        <v>23.9</v>
      </c>
      <c r="O8" s="9">
        <v>110</v>
      </c>
      <c r="P8" s="9">
        <v>51</v>
      </c>
      <c r="Q8" s="9">
        <f t="shared" si="2"/>
        <v>0.60000000000000142</v>
      </c>
      <c r="R8" s="10">
        <f t="shared" si="3"/>
        <v>59</v>
      </c>
      <c r="V8" s="14" t="s">
        <v>17</v>
      </c>
      <c r="W8" s="9">
        <v>24.5</v>
      </c>
      <c r="X8" s="9">
        <v>24.5</v>
      </c>
      <c r="Y8" s="9">
        <v>110</v>
      </c>
      <c r="Z8" s="9">
        <v>111</v>
      </c>
      <c r="AA8" s="17">
        <f t="shared" si="4"/>
        <v>0</v>
      </c>
      <c r="AB8" s="10">
        <f t="shared" si="5"/>
        <v>1</v>
      </c>
      <c r="AG8" s="14" t="s">
        <v>17</v>
      </c>
      <c r="AH8" s="9">
        <v>24.5</v>
      </c>
      <c r="AI8" s="9"/>
      <c r="AJ8" s="9">
        <v>110</v>
      </c>
      <c r="AK8" s="9">
        <v>222</v>
      </c>
      <c r="AL8" s="9">
        <f t="shared" si="6"/>
        <v>24.5</v>
      </c>
      <c r="AM8" s="10">
        <f t="shared" si="7"/>
        <v>112</v>
      </c>
      <c r="AR8" s="14" t="s">
        <v>17</v>
      </c>
      <c r="AS8" s="9">
        <v>24.5</v>
      </c>
      <c r="AT8" s="9">
        <v>23</v>
      </c>
      <c r="AU8" s="9">
        <v>110</v>
      </c>
      <c r="AV8" s="9">
        <v>81</v>
      </c>
      <c r="AW8" s="9">
        <f t="shared" si="8"/>
        <v>1.5</v>
      </c>
      <c r="AX8" s="10">
        <f t="shared" si="9"/>
        <v>29</v>
      </c>
    </row>
    <row r="9" spans="1:50" x14ac:dyDescent="0.25">
      <c r="B9" s="14" t="s">
        <v>18</v>
      </c>
      <c r="C9" s="9">
        <v>22</v>
      </c>
      <c r="D9" s="9">
        <v>20</v>
      </c>
      <c r="E9" s="9">
        <v>113</v>
      </c>
      <c r="F9" s="9">
        <v>64</v>
      </c>
      <c r="G9" s="9">
        <f t="shared" si="0"/>
        <v>2</v>
      </c>
      <c r="H9" s="10">
        <f t="shared" si="1"/>
        <v>49</v>
      </c>
      <c r="L9" s="14" t="s">
        <v>18</v>
      </c>
      <c r="M9" s="9">
        <v>22</v>
      </c>
      <c r="N9" s="9">
        <v>21.1</v>
      </c>
      <c r="O9" s="9">
        <v>113</v>
      </c>
      <c r="P9" s="9">
        <v>60.5</v>
      </c>
      <c r="Q9" s="9">
        <f t="shared" si="2"/>
        <v>0.89999999999999858</v>
      </c>
      <c r="R9" s="10">
        <f t="shared" si="3"/>
        <v>52.5</v>
      </c>
      <c r="V9" s="14" t="s">
        <v>18</v>
      </c>
      <c r="W9" s="9">
        <v>22</v>
      </c>
      <c r="X9" s="9">
        <v>20.5</v>
      </c>
      <c r="Y9" s="9">
        <v>113</v>
      </c>
      <c r="Z9" s="9">
        <v>100.7</v>
      </c>
      <c r="AA9" s="9">
        <f t="shared" si="4"/>
        <v>1.5</v>
      </c>
      <c r="AB9" s="10">
        <f t="shared" si="5"/>
        <v>12.299999999999997</v>
      </c>
      <c r="AG9" s="14" t="s">
        <v>18</v>
      </c>
      <c r="AH9" s="9">
        <v>22</v>
      </c>
      <c r="AI9" s="9"/>
      <c r="AJ9" s="9">
        <v>113</v>
      </c>
      <c r="AK9" s="9">
        <v>113.5</v>
      </c>
      <c r="AL9" s="9">
        <f t="shared" si="6"/>
        <v>22</v>
      </c>
      <c r="AM9" s="10">
        <f t="shared" si="7"/>
        <v>0.5</v>
      </c>
      <c r="AR9" s="14" t="s">
        <v>18</v>
      </c>
      <c r="AS9" s="9">
        <v>22</v>
      </c>
      <c r="AT9" s="9">
        <v>20.8</v>
      </c>
      <c r="AU9" s="9">
        <v>113</v>
      </c>
      <c r="AV9" s="9">
        <v>71.2</v>
      </c>
      <c r="AW9" s="9">
        <f t="shared" si="8"/>
        <v>1.1999999999999993</v>
      </c>
      <c r="AX9" s="10">
        <f t="shared" si="9"/>
        <v>41.8</v>
      </c>
    </row>
    <row r="10" spans="1:50" x14ac:dyDescent="0.25">
      <c r="B10" s="14" t="s">
        <v>19</v>
      </c>
      <c r="C10" s="9">
        <v>25.5</v>
      </c>
      <c r="D10" s="9">
        <v>22</v>
      </c>
      <c r="E10" s="9">
        <v>110</v>
      </c>
      <c r="F10" s="9">
        <v>76</v>
      </c>
      <c r="G10" s="9">
        <f t="shared" si="0"/>
        <v>3.5</v>
      </c>
      <c r="H10" s="10">
        <f t="shared" si="1"/>
        <v>34</v>
      </c>
      <c r="L10" s="14" t="s">
        <v>19</v>
      </c>
      <c r="M10" s="9">
        <v>25.5</v>
      </c>
      <c r="N10" s="9">
        <v>25.5</v>
      </c>
      <c r="O10" s="9">
        <v>110</v>
      </c>
      <c r="P10" s="9">
        <v>75.5</v>
      </c>
      <c r="Q10" s="9">
        <f t="shared" si="2"/>
        <v>0</v>
      </c>
      <c r="R10" s="10">
        <f t="shared" si="3"/>
        <v>34.5</v>
      </c>
      <c r="V10" s="14" t="s">
        <v>19</v>
      </c>
      <c r="W10" s="9">
        <v>25.5</v>
      </c>
      <c r="X10" s="9">
        <v>24.9</v>
      </c>
      <c r="Y10" s="9">
        <v>110</v>
      </c>
      <c r="Z10" s="9">
        <v>105.1</v>
      </c>
      <c r="AA10" s="9">
        <f t="shared" si="4"/>
        <v>0.60000000000000142</v>
      </c>
      <c r="AB10" s="10">
        <f t="shared" si="5"/>
        <v>4.9000000000000057</v>
      </c>
      <c r="AG10" s="14" t="s">
        <v>19</v>
      </c>
      <c r="AH10" s="9">
        <v>25.5</v>
      </c>
      <c r="AI10" s="9"/>
      <c r="AJ10" s="9">
        <v>110</v>
      </c>
      <c r="AK10" s="9">
        <v>206</v>
      </c>
      <c r="AL10" s="9">
        <f t="shared" si="6"/>
        <v>25.5</v>
      </c>
      <c r="AM10" s="10">
        <f t="shared" si="7"/>
        <v>96</v>
      </c>
      <c r="AR10" s="14" t="s">
        <v>19</v>
      </c>
      <c r="AS10" s="9">
        <v>25.5</v>
      </c>
      <c r="AT10" s="9">
        <v>25.5</v>
      </c>
      <c r="AU10" s="9">
        <v>110</v>
      </c>
      <c r="AV10" s="9">
        <v>75.5</v>
      </c>
      <c r="AW10" s="9">
        <f t="shared" si="8"/>
        <v>0</v>
      </c>
      <c r="AX10" s="10">
        <f t="shared" si="9"/>
        <v>34.5</v>
      </c>
    </row>
    <row r="11" spans="1:50" x14ac:dyDescent="0.25">
      <c r="B11" s="14" t="s">
        <v>20</v>
      </c>
      <c r="C11" s="9">
        <v>19.5</v>
      </c>
      <c r="D11" s="9">
        <v>19</v>
      </c>
      <c r="E11" s="9">
        <v>102</v>
      </c>
      <c r="F11" s="9">
        <v>79</v>
      </c>
      <c r="G11" s="9">
        <f t="shared" si="0"/>
        <v>0.5</v>
      </c>
      <c r="H11" s="10">
        <f t="shared" si="1"/>
        <v>23</v>
      </c>
      <c r="L11" s="14" t="s">
        <v>20</v>
      </c>
      <c r="M11" s="9">
        <v>19.5</v>
      </c>
      <c r="N11" s="9">
        <v>19</v>
      </c>
      <c r="O11" s="9">
        <v>102</v>
      </c>
      <c r="P11" s="9">
        <v>95.5</v>
      </c>
      <c r="Q11" s="9">
        <f t="shared" si="2"/>
        <v>0.5</v>
      </c>
      <c r="R11" s="10">
        <f t="shared" si="3"/>
        <v>6.5</v>
      </c>
      <c r="V11" s="14" t="s">
        <v>20</v>
      </c>
      <c r="W11" s="9">
        <v>19.5</v>
      </c>
      <c r="X11" s="9">
        <v>19</v>
      </c>
      <c r="Y11" s="9">
        <v>102</v>
      </c>
      <c r="Z11" s="9">
        <v>92.3</v>
      </c>
      <c r="AA11" s="9">
        <f t="shared" si="4"/>
        <v>0.5</v>
      </c>
      <c r="AB11" s="10">
        <f t="shared" si="5"/>
        <v>9.7000000000000028</v>
      </c>
      <c r="AG11" s="14" t="s">
        <v>20</v>
      </c>
      <c r="AH11" s="9">
        <v>19.5</v>
      </c>
      <c r="AI11" s="9"/>
      <c r="AJ11" s="9">
        <v>102</v>
      </c>
      <c r="AK11" s="9">
        <v>74.3</v>
      </c>
      <c r="AL11" s="9">
        <f t="shared" si="6"/>
        <v>19.5</v>
      </c>
      <c r="AM11" s="10">
        <f t="shared" si="7"/>
        <v>27.700000000000003</v>
      </c>
      <c r="AR11" s="14" t="s">
        <v>20</v>
      </c>
      <c r="AS11" s="9">
        <v>19.5</v>
      </c>
      <c r="AT11" s="9">
        <v>19</v>
      </c>
      <c r="AU11" s="9">
        <v>102</v>
      </c>
      <c r="AV11" s="9">
        <v>56</v>
      </c>
      <c r="AW11" s="9">
        <f t="shared" si="8"/>
        <v>0.5</v>
      </c>
      <c r="AX11" s="10">
        <f t="shared" si="9"/>
        <v>46</v>
      </c>
    </row>
    <row r="12" spans="1:50" x14ac:dyDescent="0.25">
      <c r="B12" s="14" t="s">
        <v>21</v>
      </c>
      <c r="C12" s="9">
        <v>13</v>
      </c>
      <c r="D12" s="9">
        <v>13</v>
      </c>
      <c r="E12" s="9">
        <v>104</v>
      </c>
      <c r="F12" s="9">
        <v>100</v>
      </c>
      <c r="G12" s="9">
        <f t="shared" si="0"/>
        <v>0</v>
      </c>
      <c r="H12" s="10">
        <f t="shared" si="1"/>
        <v>4</v>
      </c>
      <c r="L12" s="14" t="s">
        <v>21</v>
      </c>
      <c r="M12" s="9">
        <v>13</v>
      </c>
      <c r="N12" s="9">
        <v>12.5</v>
      </c>
      <c r="O12" s="9">
        <v>104</v>
      </c>
      <c r="P12" s="9">
        <v>65</v>
      </c>
      <c r="Q12" s="9">
        <f t="shared" si="2"/>
        <v>0.5</v>
      </c>
      <c r="R12" s="10">
        <f t="shared" si="3"/>
        <v>39</v>
      </c>
      <c r="V12" s="14" t="s">
        <v>21</v>
      </c>
      <c r="W12" s="9">
        <v>13</v>
      </c>
      <c r="X12" s="9">
        <v>13.2</v>
      </c>
      <c r="Y12" s="9">
        <v>104</v>
      </c>
      <c r="Z12" s="9">
        <v>102.5</v>
      </c>
      <c r="AA12" s="9">
        <f t="shared" si="4"/>
        <v>0.19999999999999929</v>
      </c>
      <c r="AB12" s="10">
        <f t="shared" si="5"/>
        <v>1.5</v>
      </c>
      <c r="AG12" s="14" t="s">
        <v>21</v>
      </c>
      <c r="AH12" s="9">
        <v>13</v>
      </c>
      <c r="AI12" s="9"/>
      <c r="AJ12" s="9">
        <v>104</v>
      </c>
      <c r="AK12" s="9">
        <v>110.7</v>
      </c>
      <c r="AL12" s="9">
        <f t="shared" si="6"/>
        <v>13</v>
      </c>
      <c r="AM12" s="10">
        <f t="shared" si="7"/>
        <v>6.7000000000000028</v>
      </c>
      <c r="AR12" s="14" t="s">
        <v>21</v>
      </c>
      <c r="AS12" s="9">
        <v>13</v>
      </c>
      <c r="AT12" s="9">
        <v>12.8</v>
      </c>
      <c r="AU12" s="9">
        <v>104</v>
      </c>
      <c r="AV12" s="9">
        <v>65</v>
      </c>
      <c r="AW12" s="9">
        <f t="shared" si="8"/>
        <v>0.19999999999999929</v>
      </c>
      <c r="AX12" s="10">
        <f t="shared" si="9"/>
        <v>39</v>
      </c>
    </row>
    <row r="13" spans="1:50" x14ac:dyDescent="0.25">
      <c r="B13" s="14" t="s">
        <v>30</v>
      </c>
      <c r="C13" s="9">
        <v>10</v>
      </c>
      <c r="D13" s="9">
        <v>8.6</v>
      </c>
      <c r="E13" s="9">
        <v>90</v>
      </c>
      <c r="F13" s="9">
        <v>88.1</v>
      </c>
      <c r="G13" s="9">
        <f>ABS(C13-D13)</f>
        <v>1.4000000000000004</v>
      </c>
      <c r="H13" s="10">
        <f>ABS(E13-F13)</f>
        <v>1.9000000000000057</v>
      </c>
      <c r="L13" s="14" t="s">
        <v>30</v>
      </c>
      <c r="M13" s="9">
        <v>10</v>
      </c>
      <c r="N13" s="9">
        <v>8.1</v>
      </c>
      <c r="O13" s="9">
        <v>90</v>
      </c>
      <c r="P13" s="9">
        <v>64</v>
      </c>
      <c r="Q13" s="9">
        <f>ABS(M13-N13)</f>
        <v>1.9000000000000004</v>
      </c>
      <c r="R13" s="10">
        <f>ABS(O13-P13)</f>
        <v>26</v>
      </c>
      <c r="V13" s="14" t="s">
        <v>30</v>
      </c>
      <c r="W13" s="9">
        <v>10</v>
      </c>
      <c r="X13" s="9">
        <v>8.8000000000000007</v>
      </c>
      <c r="Y13" s="9">
        <v>90</v>
      </c>
      <c r="Z13" s="9">
        <v>106.9</v>
      </c>
      <c r="AA13" s="9">
        <f>ABS(W13-X13)</f>
        <v>1.1999999999999993</v>
      </c>
      <c r="AB13" s="10">
        <f>ABS(Y13-Z13)</f>
        <v>16.900000000000006</v>
      </c>
      <c r="AG13" s="14" t="s">
        <v>30</v>
      </c>
      <c r="AH13" s="9">
        <v>10</v>
      </c>
      <c r="AI13" s="9"/>
      <c r="AJ13" s="9">
        <v>90</v>
      </c>
      <c r="AK13" s="9">
        <v>79.5</v>
      </c>
      <c r="AL13" s="9">
        <f>ABS(AH13-AI13)</f>
        <v>10</v>
      </c>
      <c r="AM13" s="10">
        <f>ABS(AJ13-AK13)</f>
        <v>10.5</v>
      </c>
      <c r="AR13" s="14" t="s">
        <v>30</v>
      </c>
      <c r="AS13" s="9">
        <v>10</v>
      </c>
      <c r="AT13" s="9">
        <v>9</v>
      </c>
      <c r="AU13" s="9">
        <v>90</v>
      </c>
      <c r="AV13" s="9">
        <v>66.5</v>
      </c>
      <c r="AW13" s="9">
        <f>ABS(AS13-AT13)</f>
        <v>1</v>
      </c>
      <c r="AX13" s="10">
        <f>ABS(AU13-AV13)</f>
        <v>23.5</v>
      </c>
    </row>
    <row r="14" spans="1:50" x14ac:dyDescent="0.25">
      <c r="A14" s="2"/>
      <c r="B14" s="14" t="s">
        <v>46</v>
      </c>
      <c r="C14" s="9">
        <v>16</v>
      </c>
      <c r="D14" s="9">
        <v>16</v>
      </c>
      <c r="E14" s="9">
        <v>85</v>
      </c>
      <c r="F14" s="9">
        <v>50.2</v>
      </c>
      <c r="G14" s="9">
        <f t="shared" ref="G14:G53" si="10">ABS(C14-D14)</f>
        <v>0</v>
      </c>
      <c r="H14" s="10">
        <f t="shared" ref="H14:H53" si="11">ABS(E14-F14)</f>
        <v>34.799999999999997</v>
      </c>
      <c r="L14" s="14" t="s">
        <v>46</v>
      </c>
      <c r="M14" s="9">
        <v>16</v>
      </c>
      <c r="N14" s="9">
        <v>16.7</v>
      </c>
      <c r="O14" s="9">
        <v>85</v>
      </c>
      <c r="P14" s="9">
        <v>50</v>
      </c>
      <c r="Q14" s="9">
        <f t="shared" ref="Q14:Q53" si="12">ABS(M14-N14)</f>
        <v>0.69999999999999929</v>
      </c>
      <c r="R14" s="10">
        <f t="shared" ref="R14:R53" si="13">ABS(O14-P14)</f>
        <v>35</v>
      </c>
      <c r="V14" s="14" t="s">
        <v>46</v>
      </c>
      <c r="W14" s="9">
        <v>16</v>
      </c>
      <c r="X14" s="9">
        <v>16</v>
      </c>
      <c r="Y14" s="9">
        <v>85</v>
      </c>
      <c r="Z14" s="9">
        <v>81.400000000000006</v>
      </c>
      <c r="AA14" s="9">
        <f t="shared" ref="AA14:AA53" si="14">ABS(W14-X14)</f>
        <v>0</v>
      </c>
      <c r="AB14" s="10">
        <f t="shared" ref="AB14:AB53" si="15">ABS(Y14-Z14)</f>
        <v>3.5999999999999943</v>
      </c>
      <c r="AG14" s="14" t="s">
        <v>46</v>
      </c>
      <c r="AH14" s="9">
        <v>16</v>
      </c>
      <c r="AI14" s="9"/>
      <c r="AJ14" s="9">
        <v>85</v>
      </c>
      <c r="AK14" s="9">
        <v>83.3</v>
      </c>
      <c r="AL14" s="9">
        <f t="shared" ref="AL14:AL53" si="16">ABS(AH14-AI14)</f>
        <v>16</v>
      </c>
      <c r="AM14" s="10">
        <f t="shared" ref="AM14:AM53" si="17">ABS(AJ14-AK14)</f>
        <v>1.7000000000000028</v>
      </c>
      <c r="AR14" s="14" t="s">
        <v>46</v>
      </c>
      <c r="AS14" s="9">
        <v>16</v>
      </c>
      <c r="AT14" s="9">
        <v>16.600000000000001</v>
      </c>
      <c r="AU14" s="9">
        <v>85</v>
      </c>
      <c r="AV14" s="9">
        <v>50</v>
      </c>
      <c r="AW14" s="9">
        <f t="shared" ref="AW14:AW53" si="18">ABS(AS14-AT14)</f>
        <v>0.60000000000000142</v>
      </c>
      <c r="AX14" s="10">
        <f t="shared" ref="AX14:AX53" si="19">ABS(AU14-AV14)</f>
        <v>35</v>
      </c>
    </row>
    <row r="15" spans="1:50" x14ac:dyDescent="0.25">
      <c r="B15" s="14" t="s">
        <v>47</v>
      </c>
      <c r="C15" s="9">
        <v>15.2</v>
      </c>
      <c r="D15" s="9">
        <v>15</v>
      </c>
      <c r="E15" s="9">
        <v>61</v>
      </c>
      <c r="F15" s="9">
        <v>55.7</v>
      </c>
      <c r="G15" s="9">
        <f t="shared" si="10"/>
        <v>0.19999999999999929</v>
      </c>
      <c r="H15" s="10">
        <f t="shared" si="11"/>
        <v>5.2999999999999972</v>
      </c>
      <c r="L15" s="14" t="s">
        <v>47</v>
      </c>
      <c r="M15" s="9">
        <v>15.2</v>
      </c>
      <c r="N15" s="9">
        <v>14.7</v>
      </c>
      <c r="O15" s="9">
        <v>61</v>
      </c>
      <c r="P15" s="9">
        <v>61.2</v>
      </c>
      <c r="Q15" s="9">
        <f t="shared" si="12"/>
        <v>0.5</v>
      </c>
      <c r="R15" s="10">
        <f t="shared" si="13"/>
        <v>0.20000000000000284</v>
      </c>
      <c r="V15" s="14" t="s">
        <v>47</v>
      </c>
      <c r="W15" s="9">
        <v>15.2</v>
      </c>
      <c r="X15" s="9">
        <v>15.2</v>
      </c>
      <c r="Y15" s="9">
        <v>61</v>
      </c>
      <c r="Z15" s="9">
        <v>86.4</v>
      </c>
      <c r="AA15" s="9">
        <f t="shared" si="14"/>
        <v>0</v>
      </c>
      <c r="AB15" s="10">
        <f t="shared" si="15"/>
        <v>25.400000000000006</v>
      </c>
      <c r="AG15" s="14" t="s">
        <v>47</v>
      </c>
      <c r="AH15" s="9">
        <v>15.2</v>
      </c>
      <c r="AI15" s="9"/>
      <c r="AJ15" s="9">
        <v>61</v>
      </c>
      <c r="AK15" s="9">
        <v>108.5</v>
      </c>
      <c r="AL15" s="9">
        <f t="shared" si="16"/>
        <v>15.2</v>
      </c>
      <c r="AM15" s="10">
        <f t="shared" si="17"/>
        <v>47.5</v>
      </c>
      <c r="AR15" s="14" t="s">
        <v>47</v>
      </c>
      <c r="AS15" s="9">
        <v>15.2</v>
      </c>
      <c r="AT15" s="9">
        <v>15</v>
      </c>
      <c r="AU15" s="9">
        <v>61</v>
      </c>
      <c r="AV15" s="9">
        <v>54.5</v>
      </c>
      <c r="AW15" s="9">
        <f t="shared" si="18"/>
        <v>0.19999999999999929</v>
      </c>
      <c r="AX15" s="10">
        <f t="shared" si="19"/>
        <v>6.5</v>
      </c>
    </row>
    <row r="16" spans="1:50" x14ac:dyDescent="0.25">
      <c r="B16" s="14" t="s">
        <v>48</v>
      </c>
      <c r="C16" s="9">
        <v>14</v>
      </c>
      <c r="D16" s="9">
        <v>13.1</v>
      </c>
      <c r="E16" s="9">
        <v>85</v>
      </c>
      <c r="F16" s="9">
        <v>63.6</v>
      </c>
      <c r="G16" s="9">
        <f t="shared" si="10"/>
        <v>0.90000000000000036</v>
      </c>
      <c r="H16" s="10">
        <f t="shared" si="11"/>
        <v>21.4</v>
      </c>
      <c r="L16" s="14" t="s">
        <v>48</v>
      </c>
      <c r="M16" s="9">
        <v>14</v>
      </c>
      <c r="N16" s="9">
        <v>13.9</v>
      </c>
      <c r="O16" s="9">
        <v>85</v>
      </c>
      <c r="P16" s="9">
        <v>54.4</v>
      </c>
      <c r="Q16" s="9">
        <f t="shared" si="12"/>
        <v>9.9999999999999645E-2</v>
      </c>
      <c r="R16" s="10">
        <f t="shared" si="13"/>
        <v>30.6</v>
      </c>
      <c r="V16" s="14" t="s">
        <v>48</v>
      </c>
      <c r="W16" s="9">
        <v>14</v>
      </c>
      <c r="X16" s="9">
        <v>13.5</v>
      </c>
      <c r="Y16" s="9">
        <v>85</v>
      </c>
      <c r="Z16" s="9">
        <v>83.8</v>
      </c>
      <c r="AA16" s="9">
        <f t="shared" si="14"/>
        <v>0.5</v>
      </c>
      <c r="AB16" s="10">
        <f t="shared" si="15"/>
        <v>1.2000000000000028</v>
      </c>
      <c r="AG16" s="14" t="s">
        <v>48</v>
      </c>
      <c r="AH16" s="9">
        <v>14</v>
      </c>
      <c r="AI16" s="9"/>
      <c r="AJ16" s="9">
        <v>85</v>
      </c>
      <c r="AK16" s="9">
        <v>198.8</v>
      </c>
      <c r="AL16" s="9">
        <f t="shared" si="16"/>
        <v>14</v>
      </c>
      <c r="AM16" s="10">
        <f t="shared" si="17"/>
        <v>113.80000000000001</v>
      </c>
      <c r="AR16" s="14" t="s">
        <v>48</v>
      </c>
      <c r="AS16" s="9">
        <v>14</v>
      </c>
      <c r="AT16" s="9">
        <v>14.1</v>
      </c>
      <c r="AU16" s="9">
        <v>85</v>
      </c>
      <c r="AV16" s="9">
        <v>55.2</v>
      </c>
      <c r="AW16" s="9">
        <f t="shared" si="18"/>
        <v>9.9999999999999645E-2</v>
      </c>
      <c r="AX16" s="10">
        <f t="shared" si="19"/>
        <v>29.799999999999997</v>
      </c>
    </row>
    <row r="17" spans="2:50" x14ac:dyDescent="0.25">
      <c r="B17" s="14" t="s">
        <v>49</v>
      </c>
      <c r="C17" s="9">
        <v>13.2</v>
      </c>
      <c r="D17" s="9">
        <v>13</v>
      </c>
      <c r="E17" s="9">
        <v>87</v>
      </c>
      <c r="F17" s="9">
        <v>51.9</v>
      </c>
      <c r="G17" s="9">
        <f t="shared" si="10"/>
        <v>0.19999999999999929</v>
      </c>
      <c r="H17" s="10">
        <f t="shared" si="11"/>
        <v>35.1</v>
      </c>
      <c r="L17" s="14" t="s">
        <v>49</v>
      </c>
      <c r="M17" s="9">
        <v>13.2</v>
      </c>
      <c r="N17" s="9">
        <v>13.4</v>
      </c>
      <c r="O17" s="9">
        <v>87</v>
      </c>
      <c r="P17" s="9">
        <v>50.8</v>
      </c>
      <c r="Q17" s="9">
        <f t="shared" si="12"/>
        <v>0.20000000000000107</v>
      </c>
      <c r="R17" s="10">
        <f t="shared" si="13"/>
        <v>36.200000000000003</v>
      </c>
      <c r="V17" s="14" t="s">
        <v>49</v>
      </c>
      <c r="W17" s="9">
        <v>13.2</v>
      </c>
      <c r="X17" s="9">
        <v>12.9</v>
      </c>
      <c r="Y17" s="9">
        <v>87</v>
      </c>
      <c r="Z17" s="9">
        <v>81.2</v>
      </c>
      <c r="AA17" s="9">
        <f t="shared" si="14"/>
        <v>0.29999999999999893</v>
      </c>
      <c r="AB17" s="10">
        <f t="shared" si="15"/>
        <v>5.7999999999999972</v>
      </c>
      <c r="AG17" s="14" t="s">
        <v>49</v>
      </c>
      <c r="AH17" s="9">
        <v>13.2</v>
      </c>
      <c r="AI17" s="9"/>
      <c r="AJ17" s="9">
        <v>87</v>
      </c>
      <c r="AK17" s="9">
        <v>86</v>
      </c>
      <c r="AL17" s="9">
        <f t="shared" si="16"/>
        <v>13.2</v>
      </c>
      <c r="AM17" s="10">
        <f t="shared" si="17"/>
        <v>1</v>
      </c>
      <c r="AR17" s="14" t="s">
        <v>49</v>
      </c>
      <c r="AS17" s="9">
        <v>13.2</v>
      </c>
      <c r="AT17" s="9">
        <v>13</v>
      </c>
      <c r="AU17" s="9">
        <v>87</v>
      </c>
      <c r="AV17" s="9">
        <v>61</v>
      </c>
      <c r="AW17" s="9">
        <f t="shared" si="18"/>
        <v>0.19999999999999929</v>
      </c>
      <c r="AX17" s="10">
        <f t="shared" si="19"/>
        <v>26</v>
      </c>
    </row>
    <row r="18" spans="2:50" x14ac:dyDescent="0.25">
      <c r="B18" s="14" t="s">
        <v>50</v>
      </c>
      <c r="C18" s="9">
        <v>14.4</v>
      </c>
      <c r="D18" s="9">
        <v>14.2</v>
      </c>
      <c r="E18" s="9">
        <v>83</v>
      </c>
      <c r="F18" s="9">
        <v>51.5</v>
      </c>
      <c r="G18" s="9">
        <f t="shared" si="10"/>
        <v>0.20000000000000107</v>
      </c>
      <c r="H18" s="10">
        <f t="shared" si="11"/>
        <v>31.5</v>
      </c>
      <c r="L18" s="14" t="s">
        <v>50</v>
      </c>
      <c r="M18" s="9">
        <v>14.4</v>
      </c>
      <c r="N18" s="9">
        <v>14.2</v>
      </c>
      <c r="O18" s="9">
        <v>83</v>
      </c>
      <c r="P18" s="9">
        <v>58.4</v>
      </c>
      <c r="Q18" s="9">
        <f t="shared" si="12"/>
        <v>0.20000000000000107</v>
      </c>
      <c r="R18" s="10">
        <f t="shared" si="13"/>
        <v>24.6</v>
      </c>
      <c r="V18" s="14" t="s">
        <v>50</v>
      </c>
      <c r="W18" s="9">
        <v>14.4</v>
      </c>
      <c r="X18" s="9">
        <v>14</v>
      </c>
      <c r="Y18" s="9">
        <v>83</v>
      </c>
      <c r="Z18" s="9">
        <v>84.1</v>
      </c>
      <c r="AA18" s="9">
        <f t="shared" si="14"/>
        <v>0.40000000000000036</v>
      </c>
      <c r="AB18" s="10">
        <f t="shared" si="15"/>
        <v>1.0999999999999943</v>
      </c>
      <c r="AG18" s="14" t="s">
        <v>50</v>
      </c>
      <c r="AH18" s="9">
        <v>14.4</v>
      </c>
      <c r="AI18" s="9"/>
      <c r="AJ18" s="9">
        <v>83</v>
      </c>
      <c r="AK18" s="9">
        <v>140.30000000000001</v>
      </c>
      <c r="AL18" s="9">
        <f t="shared" si="16"/>
        <v>14.4</v>
      </c>
      <c r="AM18" s="10">
        <f t="shared" si="17"/>
        <v>57.300000000000011</v>
      </c>
      <c r="AR18" s="14" t="s">
        <v>50</v>
      </c>
      <c r="AS18" s="9">
        <v>14.4</v>
      </c>
      <c r="AT18" s="9">
        <v>14.4</v>
      </c>
      <c r="AU18" s="9">
        <v>83</v>
      </c>
      <c r="AV18" s="9">
        <v>60.8</v>
      </c>
      <c r="AW18" s="9">
        <f t="shared" si="18"/>
        <v>0</v>
      </c>
      <c r="AX18" s="10">
        <f t="shared" si="19"/>
        <v>22.200000000000003</v>
      </c>
    </row>
    <row r="19" spans="2:50" x14ac:dyDescent="0.25">
      <c r="B19" s="14" t="s">
        <v>51</v>
      </c>
      <c r="C19" s="9">
        <v>14.4</v>
      </c>
      <c r="D19" s="9">
        <v>15</v>
      </c>
      <c r="E19" s="9">
        <v>73</v>
      </c>
      <c r="F19" s="9">
        <v>46.6</v>
      </c>
      <c r="G19" s="9">
        <f t="shared" si="10"/>
        <v>0.59999999999999964</v>
      </c>
      <c r="H19" s="10">
        <f t="shared" si="11"/>
        <v>26.4</v>
      </c>
      <c r="L19" s="14" t="s">
        <v>51</v>
      </c>
      <c r="M19" s="9">
        <v>14.4</v>
      </c>
      <c r="N19" s="9">
        <v>14.7</v>
      </c>
      <c r="O19" s="9">
        <v>73</v>
      </c>
      <c r="P19" s="9">
        <v>73</v>
      </c>
      <c r="Q19" s="9">
        <f t="shared" si="12"/>
        <v>0.29999999999999893</v>
      </c>
      <c r="R19" s="10">
        <f t="shared" si="13"/>
        <v>0</v>
      </c>
      <c r="V19" s="14" t="s">
        <v>51</v>
      </c>
      <c r="W19" s="9">
        <v>14.4</v>
      </c>
      <c r="X19" s="9">
        <v>15.2</v>
      </c>
      <c r="Y19" s="9">
        <v>73</v>
      </c>
      <c r="Z19" s="9">
        <v>81.7</v>
      </c>
      <c r="AA19" s="9">
        <f t="shared" si="14"/>
        <v>0.79999999999999893</v>
      </c>
      <c r="AB19" s="10">
        <f t="shared" si="15"/>
        <v>8.7000000000000028</v>
      </c>
      <c r="AG19" s="14" t="s">
        <v>51</v>
      </c>
      <c r="AH19" s="9">
        <v>14.4</v>
      </c>
      <c r="AI19" s="9"/>
      <c r="AJ19" s="9">
        <v>73</v>
      </c>
      <c r="AK19" s="9">
        <v>165</v>
      </c>
      <c r="AL19" s="9">
        <f t="shared" si="16"/>
        <v>14.4</v>
      </c>
      <c r="AM19" s="10">
        <f t="shared" si="17"/>
        <v>92</v>
      </c>
      <c r="AR19" s="14" t="s">
        <v>51</v>
      </c>
      <c r="AS19" s="9">
        <v>14.4</v>
      </c>
      <c r="AT19" s="9">
        <v>14.8</v>
      </c>
      <c r="AU19" s="9">
        <v>73</v>
      </c>
      <c r="AV19" s="9">
        <v>45.7</v>
      </c>
      <c r="AW19" s="9">
        <f t="shared" si="18"/>
        <v>0.40000000000000036</v>
      </c>
      <c r="AX19" s="10">
        <f t="shared" si="19"/>
        <v>27.299999999999997</v>
      </c>
    </row>
    <row r="20" spans="2:50" x14ac:dyDescent="0.25">
      <c r="B20" s="14" t="s">
        <v>52</v>
      </c>
      <c r="C20" s="9">
        <v>13.2</v>
      </c>
      <c r="D20" s="9">
        <v>13</v>
      </c>
      <c r="E20" s="9">
        <v>85</v>
      </c>
      <c r="F20" s="9">
        <v>66.3</v>
      </c>
      <c r="G20" s="9">
        <f t="shared" si="10"/>
        <v>0.19999999999999929</v>
      </c>
      <c r="H20" s="10">
        <f t="shared" si="11"/>
        <v>18.700000000000003</v>
      </c>
      <c r="L20" s="14" t="s">
        <v>52</v>
      </c>
      <c r="M20" s="9">
        <v>13.2</v>
      </c>
      <c r="N20" s="9">
        <v>13.6</v>
      </c>
      <c r="O20" s="9">
        <v>85</v>
      </c>
      <c r="P20" s="9">
        <v>53.2</v>
      </c>
      <c r="Q20" s="9">
        <f t="shared" si="12"/>
        <v>0.40000000000000036</v>
      </c>
      <c r="R20" s="10">
        <f t="shared" si="13"/>
        <v>31.799999999999997</v>
      </c>
      <c r="V20" s="14" t="s">
        <v>52</v>
      </c>
      <c r="W20" s="9">
        <v>13.2</v>
      </c>
      <c r="X20" s="9">
        <v>12.9</v>
      </c>
      <c r="Y20" s="9">
        <v>85</v>
      </c>
      <c r="Z20" s="9">
        <v>81.400000000000006</v>
      </c>
      <c r="AA20" s="9">
        <f t="shared" si="14"/>
        <v>0.29999999999999893</v>
      </c>
      <c r="AB20" s="10">
        <f t="shared" si="15"/>
        <v>3.5999999999999943</v>
      </c>
      <c r="AG20" s="14" t="s">
        <v>52</v>
      </c>
      <c r="AH20" s="9">
        <v>13.2</v>
      </c>
      <c r="AI20" s="9"/>
      <c r="AJ20" s="9">
        <v>85</v>
      </c>
      <c r="AK20" s="9">
        <v>165.5</v>
      </c>
      <c r="AL20" s="9">
        <f t="shared" si="16"/>
        <v>13.2</v>
      </c>
      <c r="AM20" s="10">
        <f t="shared" si="17"/>
        <v>80.5</v>
      </c>
      <c r="AR20" s="14" t="s">
        <v>52</v>
      </c>
      <c r="AS20" s="9">
        <v>13.2</v>
      </c>
      <c r="AT20" s="9">
        <v>13.4</v>
      </c>
      <c r="AU20" s="9">
        <v>85</v>
      </c>
      <c r="AV20" s="9">
        <v>74.5</v>
      </c>
      <c r="AW20" s="9">
        <f t="shared" si="18"/>
        <v>0.20000000000000107</v>
      </c>
      <c r="AX20" s="10">
        <f t="shared" si="19"/>
        <v>10.5</v>
      </c>
    </row>
    <row r="21" spans="2:50" x14ac:dyDescent="0.25">
      <c r="B21" s="14" t="s">
        <v>53</v>
      </c>
      <c r="C21" s="9">
        <v>14</v>
      </c>
      <c r="D21" s="9">
        <v>13.7</v>
      </c>
      <c r="E21" s="9">
        <v>85</v>
      </c>
      <c r="F21" s="9">
        <v>63.5</v>
      </c>
      <c r="G21" s="9">
        <f t="shared" si="10"/>
        <v>0.30000000000000071</v>
      </c>
      <c r="H21" s="10">
        <f t="shared" si="11"/>
        <v>21.5</v>
      </c>
      <c r="L21" s="14" t="s">
        <v>53</v>
      </c>
      <c r="M21" s="9">
        <v>14</v>
      </c>
      <c r="N21" s="9">
        <v>14.2</v>
      </c>
      <c r="O21" s="9">
        <v>85</v>
      </c>
      <c r="P21" s="9">
        <v>110</v>
      </c>
      <c r="Q21" s="9">
        <f t="shared" si="12"/>
        <v>0.19999999999999929</v>
      </c>
      <c r="R21" s="10">
        <f t="shared" si="13"/>
        <v>25</v>
      </c>
      <c r="V21" s="14" t="s">
        <v>53</v>
      </c>
      <c r="W21" s="9">
        <v>14</v>
      </c>
      <c r="X21" s="9">
        <v>14</v>
      </c>
      <c r="Y21" s="9">
        <v>85</v>
      </c>
      <c r="Z21" s="9">
        <v>87.6</v>
      </c>
      <c r="AA21" s="9">
        <f t="shared" si="14"/>
        <v>0</v>
      </c>
      <c r="AB21" s="10">
        <f t="shared" si="15"/>
        <v>2.5999999999999943</v>
      </c>
      <c r="AG21" s="14" t="s">
        <v>53</v>
      </c>
      <c r="AH21" s="9">
        <v>14</v>
      </c>
      <c r="AI21" s="9"/>
      <c r="AJ21" s="9">
        <v>85</v>
      </c>
      <c r="AK21" s="9">
        <v>133.5</v>
      </c>
      <c r="AL21" s="9">
        <f t="shared" si="16"/>
        <v>14</v>
      </c>
      <c r="AM21" s="10">
        <f t="shared" si="17"/>
        <v>48.5</v>
      </c>
      <c r="AR21" s="14" t="s">
        <v>53</v>
      </c>
      <c r="AS21" s="9">
        <v>14</v>
      </c>
      <c r="AT21" s="9">
        <v>14</v>
      </c>
      <c r="AU21" s="9">
        <v>85</v>
      </c>
      <c r="AV21" s="9">
        <v>50.8</v>
      </c>
      <c r="AW21" s="9">
        <f t="shared" si="18"/>
        <v>0</v>
      </c>
      <c r="AX21" s="10">
        <f t="shared" si="19"/>
        <v>34.200000000000003</v>
      </c>
    </row>
    <row r="22" spans="2:50" x14ac:dyDescent="0.25">
      <c r="B22" s="14" t="s">
        <v>54</v>
      </c>
      <c r="C22" s="9">
        <v>12.8</v>
      </c>
      <c r="D22" s="9">
        <v>12.7</v>
      </c>
      <c r="E22" s="9">
        <v>82</v>
      </c>
      <c r="F22" s="9">
        <v>67.3</v>
      </c>
      <c r="G22" s="9">
        <f t="shared" si="10"/>
        <v>0.10000000000000142</v>
      </c>
      <c r="H22" s="10">
        <f t="shared" si="11"/>
        <v>14.700000000000003</v>
      </c>
      <c r="L22" s="14" t="s">
        <v>54</v>
      </c>
      <c r="M22" s="9">
        <v>12.8</v>
      </c>
      <c r="N22" s="9">
        <v>13.1</v>
      </c>
      <c r="O22" s="9">
        <v>82</v>
      </c>
      <c r="P22" s="9">
        <v>50.4</v>
      </c>
      <c r="Q22" s="9">
        <f t="shared" si="12"/>
        <v>0.29999999999999893</v>
      </c>
      <c r="R22" s="10">
        <f t="shared" si="13"/>
        <v>31.6</v>
      </c>
      <c r="V22" s="14" t="s">
        <v>54</v>
      </c>
      <c r="W22" s="9">
        <v>12.8</v>
      </c>
      <c r="X22" s="9">
        <v>12.9</v>
      </c>
      <c r="Y22" s="9">
        <v>82</v>
      </c>
      <c r="Z22" s="9">
        <v>85.5</v>
      </c>
      <c r="AA22" s="9">
        <f t="shared" si="14"/>
        <v>9.9999999999999645E-2</v>
      </c>
      <c r="AB22" s="10">
        <f t="shared" si="15"/>
        <v>3.5</v>
      </c>
      <c r="AG22" s="14" t="s">
        <v>54</v>
      </c>
      <c r="AH22" s="9">
        <v>12.8</v>
      </c>
      <c r="AI22" s="9"/>
      <c r="AJ22" s="9">
        <v>82</v>
      </c>
      <c r="AK22" s="9">
        <v>160.5</v>
      </c>
      <c r="AL22" s="9">
        <f t="shared" si="16"/>
        <v>12.8</v>
      </c>
      <c r="AM22" s="10">
        <f t="shared" si="17"/>
        <v>78.5</v>
      </c>
      <c r="AR22" s="14" t="s">
        <v>54</v>
      </c>
      <c r="AS22" s="9">
        <v>12.8</v>
      </c>
      <c r="AT22" s="9">
        <v>12.6</v>
      </c>
      <c r="AU22" s="9">
        <v>82</v>
      </c>
      <c r="AV22" s="9">
        <v>76.2</v>
      </c>
      <c r="AW22" s="9">
        <f t="shared" si="18"/>
        <v>0.20000000000000107</v>
      </c>
      <c r="AX22" s="10">
        <f t="shared" si="19"/>
        <v>5.7999999999999972</v>
      </c>
    </row>
    <row r="23" spans="2:50" x14ac:dyDescent="0.25">
      <c r="B23" s="14" t="s">
        <v>55</v>
      </c>
      <c r="C23" s="9">
        <v>13.6</v>
      </c>
      <c r="D23" s="9">
        <v>13.5</v>
      </c>
      <c r="E23" s="9">
        <v>87</v>
      </c>
      <c r="F23" s="9">
        <v>56.5</v>
      </c>
      <c r="G23" s="9">
        <f t="shared" si="10"/>
        <v>9.9999999999999645E-2</v>
      </c>
      <c r="H23" s="10">
        <f t="shared" si="11"/>
        <v>30.5</v>
      </c>
      <c r="L23" s="14" t="s">
        <v>55</v>
      </c>
      <c r="M23" s="9">
        <v>13.6</v>
      </c>
      <c r="N23" s="9">
        <v>13.9</v>
      </c>
      <c r="O23" s="9">
        <v>87</v>
      </c>
      <c r="P23" s="9">
        <v>50</v>
      </c>
      <c r="Q23" s="9">
        <f t="shared" si="12"/>
        <v>0.30000000000000071</v>
      </c>
      <c r="R23" s="10">
        <f t="shared" si="13"/>
        <v>37</v>
      </c>
      <c r="V23" s="14" t="s">
        <v>55</v>
      </c>
      <c r="W23" s="9">
        <v>13.6</v>
      </c>
      <c r="X23" s="9">
        <v>12.9</v>
      </c>
      <c r="Y23" s="9">
        <v>87</v>
      </c>
      <c r="Z23" s="9">
        <v>80.900000000000006</v>
      </c>
      <c r="AA23" s="9">
        <f t="shared" si="14"/>
        <v>0.69999999999999929</v>
      </c>
      <c r="AB23" s="10">
        <f t="shared" si="15"/>
        <v>6.0999999999999943</v>
      </c>
      <c r="AG23" s="14" t="s">
        <v>55</v>
      </c>
      <c r="AH23" s="9">
        <v>13.6</v>
      </c>
      <c r="AI23" s="9"/>
      <c r="AJ23" s="9">
        <v>87</v>
      </c>
      <c r="AK23" s="9">
        <v>83.3</v>
      </c>
      <c r="AL23" s="9">
        <f t="shared" si="16"/>
        <v>13.6</v>
      </c>
      <c r="AM23" s="10">
        <f t="shared" si="17"/>
        <v>3.7000000000000028</v>
      </c>
      <c r="AR23" s="14" t="s">
        <v>55</v>
      </c>
      <c r="AS23" s="9">
        <v>13.6</v>
      </c>
      <c r="AT23" s="9">
        <v>13.3</v>
      </c>
      <c r="AU23" s="9">
        <v>87</v>
      </c>
      <c r="AV23" s="9">
        <v>49.5</v>
      </c>
      <c r="AW23" s="9">
        <f t="shared" si="18"/>
        <v>0.29999999999999893</v>
      </c>
      <c r="AX23" s="10">
        <f t="shared" si="19"/>
        <v>37.5</v>
      </c>
    </row>
    <row r="24" spans="2:50" x14ac:dyDescent="0.25">
      <c r="B24" s="14" t="s">
        <v>60</v>
      </c>
      <c r="C24" s="9">
        <v>15.6</v>
      </c>
      <c r="D24" s="9">
        <v>15.5</v>
      </c>
      <c r="E24" s="9">
        <v>100</v>
      </c>
      <c r="F24" s="9">
        <v>59.6</v>
      </c>
      <c r="G24" s="9">
        <f t="shared" si="10"/>
        <v>9.9999999999999645E-2</v>
      </c>
      <c r="H24" s="10">
        <f t="shared" si="11"/>
        <v>40.4</v>
      </c>
      <c r="L24" s="14" t="s">
        <v>60</v>
      </c>
      <c r="M24" s="9">
        <v>15.6</v>
      </c>
      <c r="N24" s="9">
        <v>15</v>
      </c>
      <c r="O24" s="9">
        <v>100</v>
      </c>
      <c r="P24" s="9">
        <v>98.4</v>
      </c>
      <c r="Q24" s="9">
        <f t="shared" si="12"/>
        <v>0.59999999999999964</v>
      </c>
      <c r="R24" s="10">
        <f t="shared" si="13"/>
        <v>1.5999999999999943</v>
      </c>
      <c r="V24" s="14" t="s">
        <v>60</v>
      </c>
      <c r="W24" s="9">
        <v>15.6</v>
      </c>
      <c r="X24" s="9">
        <v>15.2</v>
      </c>
      <c r="Y24" s="9">
        <v>100</v>
      </c>
      <c r="Z24" s="9">
        <v>95.8</v>
      </c>
      <c r="AA24" s="9">
        <f t="shared" si="14"/>
        <v>0.40000000000000036</v>
      </c>
      <c r="AB24" s="10">
        <f t="shared" si="15"/>
        <v>4.2000000000000028</v>
      </c>
      <c r="AG24" s="14" t="s">
        <v>60</v>
      </c>
      <c r="AH24" s="9">
        <v>15.6</v>
      </c>
      <c r="AI24" s="9"/>
      <c r="AJ24" s="9">
        <v>100</v>
      </c>
      <c r="AK24" s="9">
        <v>208</v>
      </c>
      <c r="AL24" s="9">
        <f t="shared" si="16"/>
        <v>15.6</v>
      </c>
      <c r="AM24" s="10">
        <f t="shared" si="17"/>
        <v>108</v>
      </c>
      <c r="AR24" s="14" t="s">
        <v>60</v>
      </c>
      <c r="AS24" s="9">
        <v>15.6</v>
      </c>
      <c r="AT24" s="9">
        <v>15</v>
      </c>
      <c r="AU24" s="9">
        <v>100</v>
      </c>
      <c r="AV24" s="9">
        <v>59.8</v>
      </c>
      <c r="AW24" s="9">
        <f t="shared" si="18"/>
        <v>0.59999999999999964</v>
      </c>
      <c r="AX24" s="10">
        <f t="shared" si="19"/>
        <v>40.200000000000003</v>
      </c>
    </row>
    <row r="25" spans="2:50" x14ac:dyDescent="0.25">
      <c r="B25" s="14" t="s">
        <v>61</v>
      </c>
      <c r="C25" s="9">
        <v>14.8</v>
      </c>
      <c r="D25" s="9">
        <v>14.6</v>
      </c>
      <c r="E25" s="9">
        <v>99</v>
      </c>
      <c r="F25" s="9">
        <v>57.6</v>
      </c>
      <c r="G25" s="9">
        <f t="shared" si="10"/>
        <v>0.20000000000000107</v>
      </c>
      <c r="H25" s="10">
        <f t="shared" si="11"/>
        <v>41.4</v>
      </c>
      <c r="L25" s="14" t="s">
        <v>61</v>
      </c>
      <c r="M25" s="9">
        <v>14.8</v>
      </c>
      <c r="N25" s="9">
        <v>14.6</v>
      </c>
      <c r="O25" s="9">
        <v>99</v>
      </c>
      <c r="P25" s="9">
        <v>60.4</v>
      </c>
      <c r="Q25" s="9">
        <f t="shared" si="12"/>
        <v>0.20000000000000107</v>
      </c>
      <c r="R25" s="10">
        <f t="shared" si="13"/>
        <v>38.6</v>
      </c>
      <c r="V25" s="14" t="s">
        <v>61</v>
      </c>
      <c r="W25" s="9">
        <v>14.8</v>
      </c>
      <c r="X25" s="9">
        <v>15.2</v>
      </c>
      <c r="Y25" s="9">
        <v>99</v>
      </c>
      <c r="Z25" s="9">
        <v>96.4</v>
      </c>
      <c r="AA25" s="9">
        <f t="shared" si="14"/>
        <v>0.39999999999999858</v>
      </c>
      <c r="AB25" s="10">
        <f t="shared" si="15"/>
        <v>2.5999999999999943</v>
      </c>
      <c r="AG25" s="14" t="s">
        <v>61</v>
      </c>
      <c r="AH25" s="9">
        <v>14.8</v>
      </c>
      <c r="AI25" s="9"/>
      <c r="AJ25" s="9">
        <v>99</v>
      </c>
      <c r="AK25" s="9">
        <v>57</v>
      </c>
      <c r="AL25" s="9">
        <f t="shared" si="16"/>
        <v>14.8</v>
      </c>
      <c r="AM25" s="10">
        <f t="shared" si="17"/>
        <v>42</v>
      </c>
      <c r="AR25" s="14" t="s">
        <v>61</v>
      </c>
      <c r="AS25" s="9">
        <v>14.8</v>
      </c>
      <c r="AT25" s="9">
        <v>14.6</v>
      </c>
      <c r="AU25" s="9">
        <v>99</v>
      </c>
      <c r="AV25" s="9">
        <v>45.2</v>
      </c>
      <c r="AW25" s="9">
        <f t="shared" si="18"/>
        <v>0.20000000000000107</v>
      </c>
      <c r="AX25" s="10">
        <f t="shared" si="19"/>
        <v>53.8</v>
      </c>
    </row>
    <row r="26" spans="2:50" x14ac:dyDescent="0.25">
      <c r="B26" s="14" t="s">
        <v>62</v>
      </c>
      <c r="C26" s="9">
        <v>15.2</v>
      </c>
      <c r="D26" s="9">
        <v>15.1</v>
      </c>
      <c r="E26" s="9">
        <v>98</v>
      </c>
      <c r="F26" s="9">
        <v>76.8</v>
      </c>
      <c r="G26" s="9">
        <f t="shared" si="10"/>
        <v>9.9999999999999645E-2</v>
      </c>
      <c r="H26" s="10">
        <f t="shared" si="11"/>
        <v>21.200000000000003</v>
      </c>
      <c r="L26" s="14" t="s">
        <v>62</v>
      </c>
      <c r="M26" s="9">
        <v>15.2</v>
      </c>
      <c r="N26" s="9">
        <v>14.8</v>
      </c>
      <c r="O26" s="9">
        <v>98</v>
      </c>
      <c r="P26" s="9">
        <v>96</v>
      </c>
      <c r="Q26" s="9">
        <f t="shared" si="12"/>
        <v>0.39999999999999858</v>
      </c>
      <c r="R26" s="10">
        <f t="shared" si="13"/>
        <v>2</v>
      </c>
      <c r="V26" s="14" t="s">
        <v>62</v>
      </c>
      <c r="W26" s="9">
        <v>15.2</v>
      </c>
      <c r="X26" s="9">
        <v>15.2</v>
      </c>
      <c r="Y26" s="9">
        <v>98</v>
      </c>
      <c r="Z26" s="9">
        <v>91.7</v>
      </c>
      <c r="AA26" s="9">
        <f t="shared" si="14"/>
        <v>0</v>
      </c>
      <c r="AB26" s="10">
        <f t="shared" si="15"/>
        <v>6.2999999999999972</v>
      </c>
      <c r="AG26" s="14" t="s">
        <v>62</v>
      </c>
      <c r="AH26" s="9">
        <v>15.2</v>
      </c>
      <c r="AI26" s="9"/>
      <c r="AJ26" s="9">
        <v>98</v>
      </c>
      <c r="AK26" s="9">
        <v>140.5</v>
      </c>
      <c r="AL26" s="9">
        <f t="shared" si="16"/>
        <v>15.2</v>
      </c>
      <c r="AM26" s="10">
        <f t="shared" si="17"/>
        <v>42.5</v>
      </c>
      <c r="AR26" s="14" t="s">
        <v>62</v>
      </c>
      <c r="AS26" s="9">
        <v>15.2</v>
      </c>
      <c r="AT26" s="9">
        <v>15.2</v>
      </c>
      <c r="AU26" s="9">
        <v>98</v>
      </c>
      <c r="AV26" s="9">
        <v>97.4</v>
      </c>
      <c r="AW26" s="9">
        <f t="shared" si="18"/>
        <v>0</v>
      </c>
      <c r="AX26" s="10">
        <f t="shared" si="19"/>
        <v>0.59999999999999432</v>
      </c>
    </row>
    <row r="27" spans="2:50" x14ac:dyDescent="0.25">
      <c r="B27" s="14" t="s">
        <v>63</v>
      </c>
      <c r="C27" s="9">
        <v>14.8</v>
      </c>
      <c r="D27" s="9">
        <v>15</v>
      </c>
      <c r="E27" s="9">
        <v>110</v>
      </c>
      <c r="F27" s="9">
        <v>59.9</v>
      </c>
      <c r="G27" s="9">
        <f t="shared" si="10"/>
        <v>0.19999999999999929</v>
      </c>
      <c r="H27" s="10">
        <f t="shared" si="11"/>
        <v>50.1</v>
      </c>
      <c r="L27" s="14" t="s">
        <v>63</v>
      </c>
      <c r="M27" s="9">
        <v>14.8</v>
      </c>
      <c r="N27" s="9">
        <v>14.5</v>
      </c>
      <c r="O27" s="9">
        <v>110</v>
      </c>
      <c r="P27" s="9">
        <v>96.4</v>
      </c>
      <c r="Q27" s="9">
        <f t="shared" si="12"/>
        <v>0.30000000000000071</v>
      </c>
      <c r="R27" s="10">
        <f t="shared" si="13"/>
        <v>13.599999999999994</v>
      </c>
      <c r="V27" s="14" t="s">
        <v>63</v>
      </c>
      <c r="W27" s="9">
        <v>14.8</v>
      </c>
      <c r="X27" s="9">
        <v>14</v>
      </c>
      <c r="Y27" s="9">
        <v>110</v>
      </c>
      <c r="Z27" s="9">
        <v>96</v>
      </c>
      <c r="AA27" s="9">
        <f t="shared" si="14"/>
        <v>0.80000000000000071</v>
      </c>
      <c r="AB27" s="10">
        <f t="shared" si="15"/>
        <v>14</v>
      </c>
      <c r="AG27" s="14" t="s">
        <v>63</v>
      </c>
      <c r="AH27" s="9">
        <v>14.8</v>
      </c>
      <c r="AI27" s="9"/>
      <c r="AJ27" s="9">
        <v>110</v>
      </c>
      <c r="AK27" s="9">
        <v>120</v>
      </c>
      <c r="AL27" s="9">
        <f t="shared" si="16"/>
        <v>14.8</v>
      </c>
      <c r="AM27" s="10">
        <f t="shared" si="17"/>
        <v>10</v>
      </c>
      <c r="AR27" s="14" t="s">
        <v>63</v>
      </c>
      <c r="AS27" s="9">
        <v>14.8</v>
      </c>
      <c r="AT27" s="9">
        <v>15.5</v>
      </c>
      <c r="AU27" s="9">
        <v>110</v>
      </c>
      <c r="AV27" s="9">
        <v>67.900000000000006</v>
      </c>
      <c r="AW27" s="9">
        <f t="shared" si="18"/>
        <v>0.69999999999999929</v>
      </c>
      <c r="AX27" s="10">
        <f t="shared" si="19"/>
        <v>42.099999999999994</v>
      </c>
    </row>
    <row r="28" spans="2:50" x14ac:dyDescent="0.25">
      <c r="B28" s="14" t="s">
        <v>64</v>
      </c>
      <c r="C28" s="9">
        <v>14.4</v>
      </c>
      <c r="D28" s="9">
        <v>15</v>
      </c>
      <c r="E28" s="9">
        <v>100</v>
      </c>
      <c r="F28" s="9">
        <v>67.3</v>
      </c>
      <c r="G28" s="9">
        <f t="shared" si="10"/>
        <v>0.59999999999999964</v>
      </c>
      <c r="H28" s="10">
        <f t="shared" si="11"/>
        <v>32.700000000000003</v>
      </c>
      <c r="L28" s="14" t="s">
        <v>64</v>
      </c>
      <c r="M28" s="9">
        <v>14.4</v>
      </c>
      <c r="N28" s="9">
        <v>14.3</v>
      </c>
      <c r="O28" s="9">
        <v>100</v>
      </c>
      <c r="P28" s="9">
        <v>49.6</v>
      </c>
      <c r="Q28" s="9">
        <f t="shared" si="12"/>
        <v>9.9999999999999645E-2</v>
      </c>
      <c r="R28" s="10">
        <f t="shared" si="13"/>
        <v>50.4</v>
      </c>
      <c r="V28" s="14" t="s">
        <v>64</v>
      </c>
      <c r="W28" s="9">
        <v>14.4</v>
      </c>
      <c r="X28" s="9">
        <v>14</v>
      </c>
      <c r="Y28" s="9">
        <v>100</v>
      </c>
      <c r="Z28" s="9">
        <v>91.4</v>
      </c>
      <c r="AA28" s="9">
        <f t="shared" si="14"/>
        <v>0.40000000000000036</v>
      </c>
      <c r="AB28" s="10">
        <f t="shared" si="15"/>
        <v>8.5999999999999943</v>
      </c>
      <c r="AG28" s="14" t="s">
        <v>64</v>
      </c>
      <c r="AH28" s="9">
        <v>14.4</v>
      </c>
      <c r="AI28" s="9"/>
      <c r="AJ28" s="9">
        <v>100</v>
      </c>
      <c r="AK28" s="9">
        <v>125.7</v>
      </c>
      <c r="AL28" s="9">
        <f t="shared" si="16"/>
        <v>14.4</v>
      </c>
      <c r="AM28" s="10">
        <f t="shared" si="17"/>
        <v>25.700000000000003</v>
      </c>
      <c r="AR28" s="14" t="s">
        <v>64</v>
      </c>
      <c r="AS28" s="9">
        <v>14.4</v>
      </c>
      <c r="AT28" s="9">
        <v>14</v>
      </c>
      <c r="AU28" s="9">
        <v>100</v>
      </c>
      <c r="AV28" s="9">
        <v>77.900000000000006</v>
      </c>
      <c r="AW28" s="9">
        <f t="shared" si="18"/>
        <v>0.40000000000000036</v>
      </c>
      <c r="AX28" s="10">
        <f t="shared" si="19"/>
        <v>22.099999999999994</v>
      </c>
    </row>
    <row r="29" spans="2:50" x14ac:dyDescent="0.25">
      <c r="B29" s="14" t="s">
        <v>65</v>
      </c>
      <c r="C29" s="9">
        <v>15.6</v>
      </c>
      <c r="D29" s="9">
        <v>15.2</v>
      </c>
      <c r="E29" s="9">
        <v>97</v>
      </c>
      <c r="F29" s="9">
        <v>71.599999999999994</v>
      </c>
      <c r="G29" s="9">
        <f t="shared" si="10"/>
        <v>0.40000000000000036</v>
      </c>
      <c r="H29" s="10">
        <f t="shared" si="11"/>
        <v>25.400000000000006</v>
      </c>
      <c r="L29" s="14" t="s">
        <v>65</v>
      </c>
      <c r="M29" s="9">
        <v>15.6</v>
      </c>
      <c r="N29" s="9">
        <v>15</v>
      </c>
      <c r="O29" s="9">
        <v>97</v>
      </c>
      <c r="P29" s="9">
        <v>96</v>
      </c>
      <c r="Q29" s="9">
        <f t="shared" si="12"/>
        <v>0.59999999999999964</v>
      </c>
      <c r="R29" s="10">
        <f t="shared" si="13"/>
        <v>1</v>
      </c>
      <c r="V29" s="14" t="s">
        <v>65</v>
      </c>
      <c r="W29" s="9">
        <v>15.6</v>
      </c>
      <c r="X29" s="9">
        <v>15.2</v>
      </c>
      <c r="Y29" s="9">
        <v>97</v>
      </c>
      <c r="Z29" s="9">
        <v>96.7</v>
      </c>
      <c r="AA29" s="9">
        <f t="shared" si="14"/>
        <v>0.40000000000000036</v>
      </c>
      <c r="AB29" s="10">
        <f t="shared" si="15"/>
        <v>0.29999999999999716</v>
      </c>
      <c r="AG29" s="14" t="s">
        <v>65</v>
      </c>
      <c r="AH29" s="9">
        <v>15.6</v>
      </c>
      <c r="AI29" s="9"/>
      <c r="AJ29" s="9">
        <v>97</v>
      </c>
      <c r="AK29" s="9">
        <v>60</v>
      </c>
      <c r="AL29" s="9">
        <f t="shared" si="16"/>
        <v>15.6</v>
      </c>
      <c r="AM29" s="10">
        <f t="shared" si="17"/>
        <v>37</v>
      </c>
      <c r="AR29" s="14" t="s">
        <v>65</v>
      </c>
      <c r="AS29" s="9">
        <v>15.6</v>
      </c>
      <c r="AT29" s="9">
        <v>15</v>
      </c>
      <c r="AU29" s="9">
        <v>97</v>
      </c>
      <c r="AV29" s="9">
        <v>45.7</v>
      </c>
      <c r="AW29" s="9">
        <f t="shared" si="18"/>
        <v>0.59999999999999964</v>
      </c>
      <c r="AX29" s="10">
        <f t="shared" si="19"/>
        <v>51.3</v>
      </c>
    </row>
    <row r="30" spans="2:50" x14ac:dyDescent="0.25">
      <c r="B30" s="14" t="s">
        <v>66</v>
      </c>
      <c r="C30" s="9">
        <v>14.4</v>
      </c>
      <c r="D30" s="9">
        <v>14.2</v>
      </c>
      <c r="E30" s="9">
        <v>95</v>
      </c>
      <c r="F30" s="9">
        <v>57.2</v>
      </c>
      <c r="G30" s="9">
        <f t="shared" si="10"/>
        <v>0.20000000000000107</v>
      </c>
      <c r="H30" s="10">
        <f t="shared" si="11"/>
        <v>37.799999999999997</v>
      </c>
      <c r="L30" s="14" t="s">
        <v>66</v>
      </c>
      <c r="M30" s="9">
        <v>14.4</v>
      </c>
      <c r="N30" s="9">
        <v>14.2</v>
      </c>
      <c r="O30" s="9">
        <v>95</v>
      </c>
      <c r="P30" s="9">
        <v>112</v>
      </c>
      <c r="Q30" s="9">
        <f t="shared" si="12"/>
        <v>0.20000000000000107</v>
      </c>
      <c r="R30" s="10">
        <f t="shared" si="13"/>
        <v>17</v>
      </c>
      <c r="V30" s="14" t="s">
        <v>66</v>
      </c>
      <c r="W30" s="9">
        <v>14.4</v>
      </c>
      <c r="X30" s="9">
        <v>14</v>
      </c>
      <c r="Y30" s="9">
        <v>95</v>
      </c>
      <c r="Z30" s="9">
        <v>90.2</v>
      </c>
      <c r="AA30" s="9">
        <f t="shared" si="14"/>
        <v>0.40000000000000036</v>
      </c>
      <c r="AB30" s="10">
        <f t="shared" si="15"/>
        <v>4.7999999999999972</v>
      </c>
      <c r="AG30" s="14" t="s">
        <v>66</v>
      </c>
      <c r="AH30" s="9">
        <v>14.4</v>
      </c>
      <c r="AI30" s="9"/>
      <c r="AJ30" s="9">
        <v>95</v>
      </c>
      <c r="AK30" s="9">
        <v>113</v>
      </c>
      <c r="AL30" s="9">
        <f t="shared" si="16"/>
        <v>14.4</v>
      </c>
      <c r="AM30" s="10">
        <f t="shared" si="17"/>
        <v>18</v>
      </c>
      <c r="AR30" s="14" t="s">
        <v>66</v>
      </c>
      <c r="AS30" s="9">
        <v>14.4</v>
      </c>
      <c r="AT30" s="9">
        <v>14.4</v>
      </c>
      <c r="AU30" s="9">
        <v>95</v>
      </c>
      <c r="AV30" s="9">
        <v>68.400000000000006</v>
      </c>
      <c r="AW30" s="9">
        <f t="shared" si="18"/>
        <v>0</v>
      </c>
      <c r="AX30" s="10">
        <f t="shared" si="19"/>
        <v>26.599999999999994</v>
      </c>
    </row>
    <row r="31" spans="2:50" x14ac:dyDescent="0.25">
      <c r="B31" s="14" t="s">
        <v>67</v>
      </c>
      <c r="C31" s="9">
        <v>14.6</v>
      </c>
      <c r="D31" s="9">
        <v>14.3</v>
      </c>
      <c r="E31" s="9">
        <v>95</v>
      </c>
      <c r="F31" s="9">
        <v>55.1</v>
      </c>
      <c r="G31" s="9">
        <f t="shared" si="10"/>
        <v>0.29999999999999893</v>
      </c>
      <c r="H31" s="10">
        <f t="shared" si="11"/>
        <v>39.9</v>
      </c>
      <c r="L31" s="14" t="s">
        <v>67</v>
      </c>
      <c r="M31" s="9">
        <v>14.6</v>
      </c>
      <c r="N31" s="9">
        <v>14.4</v>
      </c>
      <c r="O31" s="9">
        <v>95</v>
      </c>
      <c r="P31" s="9">
        <v>95.6</v>
      </c>
      <c r="Q31" s="9">
        <f t="shared" si="12"/>
        <v>0.19999999999999929</v>
      </c>
      <c r="R31" s="10">
        <f t="shared" si="13"/>
        <v>0.59999999999999432</v>
      </c>
      <c r="V31" s="14" t="s">
        <v>67</v>
      </c>
      <c r="W31" s="9">
        <v>14.6</v>
      </c>
      <c r="X31" s="9">
        <v>14</v>
      </c>
      <c r="Y31" s="9">
        <v>95</v>
      </c>
      <c r="Z31" s="9">
        <v>93.5</v>
      </c>
      <c r="AA31" s="9">
        <f t="shared" si="14"/>
        <v>0.59999999999999964</v>
      </c>
      <c r="AB31" s="10">
        <f t="shared" si="15"/>
        <v>1.5</v>
      </c>
      <c r="AG31" s="14" t="s">
        <v>67</v>
      </c>
      <c r="AH31" s="9">
        <v>14.6</v>
      </c>
      <c r="AI31" s="9"/>
      <c r="AJ31" s="9">
        <v>95</v>
      </c>
      <c r="AK31" s="9">
        <v>140.30000000000001</v>
      </c>
      <c r="AL31" s="9">
        <f t="shared" si="16"/>
        <v>14.6</v>
      </c>
      <c r="AM31" s="10">
        <f t="shared" si="17"/>
        <v>45.300000000000011</v>
      </c>
      <c r="AR31" s="14" t="s">
        <v>67</v>
      </c>
      <c r="AS31" s="9">
        <v>14.6</v>
      </c>
      <c r="AT31" s="9">
        <v>14.4</v>
      </c>
      <c r="AU31" s="9">
        <v>95</v>
      </c>
      <c r="AV31" s="9">
        <v>47.1</v>
      </c>
      <c r="AW31" s="9">
        <f t="shared" si="18"/>
        <v>0.19999999999999929</v>
      </c>
      <c r="AX31" s="10">
        <f t="shared" si="19"/>
        <v>47.9</v>
      </c>
    </row>
    <row r="32" spans="2:50" x14ac:dyDescent="0.25">
      <c r="B32" s="14" t="s">
        <v>68</v>
      </c>
      <c r="C32" s="9">
        <v>14.2</v>
      </c>
      <c r="D32" s="9">
        <v>14</v>
      </c>
      <c r="E32" s="9">
        <v>96</v>
      </c>
      <c r="F32" s="9">
        <v>62.3</v>
      </c>
      <c r="G32" s="9">
        <f t="shared" si="10"/>
        <v>0.19999999999999929</v>
      </c>
      <c r="H32" s="10">
        <f t="shared" si="11"/>
        <v>33.700000000000003</v>
      </c>
      <c r="L32" s="14" t="s">
        <v>68</v>
      </c>
      <c r="M32" s="9">
        <v>14.2</v>
      </c>
      <c r="N32" s="9">
        <v>14.2</v>
      </c>
      <c r="O32" s="9">
        <v>96</v>
      </c>
      <c r="P32" s="9">
        <v>58.4</v>
      </c>
      <c r="Q32" s="9">
        <f t="shared" si="12"/>
        <v>0</v>
      </c>
      <c r="R32" s="10">
        <f t="shared" si="13"/>
        <v>37.6</v>
      </c>
      <c r="V32" s="14" t="s">
        <v>68</v>
      </c>
      <c r="W32" s="9">
        <v>14.2</v>
      </c>
      <c r="X32" s="9">
        <v>14</v>
      </c>
      <c r="Y32" s="9">
        <v>96</v>
      </c>
      <c r="Z32" s="9">
        <v>95.5</v>
      </c>
      <c r="AA32" s="9">
        <f t="shared" si="14"/>
        <v>0.19999999999999929</v>
      </c>
      <c r="AB32" s="10">
        <f t="shared" si="15"/>
        <v>0.5</v>
      </c>
      <c r="AG32" s="14" t="s">
        <v>68</v>
      </c>
      <c r="AH32" s="9">
        <v>14.2</v>
      </c>
      <c r="AI32" s="9"/>
      <c r="AJ32" s="9">
        <v>96</v>
      </c>
      <c r="AK32" s="9">
        <v>65</v>
      </c>
      <c r="AL32" s="9">
        <f t="shared" si="16"/>
        <v>14.2</v>
      </c>
      <c r="AM32" s="10">
        <f t="shared" si="17"/>
        <v>31</v>
      </c>
      <c r="AR32" s="14" t="s">
        <v>68</v>
      </c>
      <c r="AS32" s="9">
        <v>14.2</v>
      </c>
      <c r="AT32" s="9">
        <v>14.2</v>
      </c>
      <c r="AU32" s="9">
        <v>96</v>
      </c>
      <c r="AV32" s="9">
        <v>58.2</v>
      </c>
      <c r="AW32" s="9">
        <f t="shared" si="18"/>
        <v>0</v>
      </c>
      <c r="AX32" s="10">
        <f t="shared" si="19"/>
        <v>37.799999999999997</v>
      </c>
    </row>
    <row r="33" spans="2:50" x14ac:dyDescent="0.25">
      <c r="B33" s="14" t="s">
        <v>69</v>
      </c>
      <c r="C33" s="9">
        <v>15</v>
      </c>
      <c r="D33" s="9">
        <v>13.8</v>
      </c>
      <c r="E33" s="9">
        <v>95</v>
      </c>
      <c r="F33" s="9">
        <v>52</v>
      </c>
      <c r="G33" s="9">
        <f t="shared" si="10"/>
        <v>1.1999999999999993</v>
      </c>
      <c r="H33" s="10">
        <f t="shared" si="11"/>
        <v>43</v>
      </c>
      <c r="L33" s="14" t="s">
        <v>69</v>
      </c>
      <c r="M33" s="9">
        <v>15</v>
      </c>
      <c r="N33" s="9">
        <v>13.9</v>
      </c>
      <c r="O33" s="9">
        <v>95</v>
      </c>
      <c r="P33" s="9">
        <v>94</v>
      </c>
      <c r="Q33" s="9">
        <f t="shared" si="12"/>
        <v>1.0999999999999996</v>
      </c>
      <c r="R33" s="10">
        <f t="shared" si="13"/>
        <v>1</v>
      </c>
      <c r="V33" s="14" t="s">
        <v>69</v>
      </c>
      <c r="W33" s="9">
        <v>15</v>
      </c>
      <c r="X33" s="9">
        <v>14</v>
      </c>
      <c r="Y33" s="9">
        <v>95</v>
      </c>
      <c r="Z33" s="9">
        <v>91.7</v>
      </c>
      <c r="AA33" s="9">
        <f t="shared" si="14"/>
        <v>1</v>
      </c>
      <c r="AB33" s="10">
        <f t="shared" si="15"/>
        <v>3.2999999999999972</v>
      </c>
      <c r="AG33" s="14" t="s">
        <v>69</v>
      </c>
      <c r="AH33" s="9">
        <v>15</v>
      </c>
      <c r="AI33" s="9"/>
      <c r="AJ33" s="9">
        <v>95</v>
      </c>
      <c r="AK33" s="9">
        <v>111.6</v>
      </c>
      <c r="AL33" s="9">
        <f t="shared" si="16"/>
        <v>15</v>
      </c>
      <c r="AM33" s="10">
        <f t="shared" si="17"/>
        <v>16.599999999999994</v>
      </c>
      <c r="AR33" s="14" t="s">
        <v>69</v>
      </c>
      <c r="AS33" s="9">
        <v>15</v>
      </c>
      <c r="AT33" s="9">
        <v>13.8</v>
      </c>
      <c r="AU33" s="9">
        <v>95</v>
      </c>
      <c r="AV33" s="9">
        <v>51.2</v>
      </c>
      <c r="AW33" s="9">
        <f t="shared" si="18"/>
        <v>1.1999999999999993</v>
      </c>
      <c r="AX33" s="10">
        <f t="shared" si="19"/>
        <v>43.8</v>
      </c>
    </row>
    <row r="34" spans="2:50" x14ac:dyDescent="0.25">
      <c r="B34" s="14" t="s">
        <v>70</v>
      </c>
      <c r="C34" s="9">
        <v>16</v>
      </c>
      <c r="D34" s="9">
        <v>15.7</v>
      </c>
      <c r="E34" s="9">
        <v>104</v>
      </c>
      <c r="F34" s="9">
        <v>70</v>
      </c>
      <c r="G34" s="9">
        <f t="shared" si="10"/>
        <v>0.30000000000000071</v>
      </c>
      <c r="H34" s="10">
        <f t="shared" si="11"/>
        <v>34</v>
      </c>
      <c r="L34" s="14" t="s">
        <v>70</v>
      </c>
      <c r="M34" s="9">
        <v>16</v>
      </c>
      <c r="N34" s="9">
        <v>16.3</v>
      </c>
      <c r="O34" s="9">
        <v>104</v>
      </c>
      <c r="P34" s="9">
        <v>82.8</v>
      </c>
      <c r="Q34" s="9">
        <f t="shared" si="12"/>
        <v>0.30000000000000071</v>
      </c>
      <c r="R34" s="10">
        <f t="shared" si="13"/>
        <v>21.200000000000003</v>
      </c>
      <c r="V34" s="14" t="s">
        <v>70</v>
      </c>
      <c r="W34" s="9">
        <v>16</v>
      </c>
      <c r="X34" s="9">
        <v>15.2</v>
      </c>
      <c r="Y34" s="9">
        <v>104</v>
      </c>
      <c r="Z34" s="9">
        <v>91.4</v>
      </c>
      <c r="AA34" s="9">
        <f t="shared" si="14"/>
        <v>0.80000000000000071</v>
      </c>
      <c r="AB34" s="10">
        <f t="shared" si="15"/>
        <v>12.599999999999994</v>
      </c>
      <c r="AG34" s="14" t="s">
        <v>70</v>
      </c>
      <c r="AH34" s="9">
        <v>16</v>
      </c>
      <c r="AI34" s="9"/>
      <c r="AJ34" s="9">
        <v>104</v>
      </c>
      <c r="AK34" s="9">
        <v>134.30000000000001</v>
      </c>
      <c r="AL34" s="9">
        <f t="shared" si="16"/>
        <v>16</v>
      </c>
      <c r="AM34" s="10">
        <f t="shared" si="17"/>
        <v>30.300000000000011</v>
      </c>
      <c r="AR34" s="14" t="s">
        <v>70</v>
      </c>
      <c r="AS34" s="9">
        <v>16</v>
      </c>
      <c r="AT34" s="9">
        <v>15.8</v>
      </c>
      <c r="AU34" s="9">
        <v>104</v>
      </c>
      <c r="AV34" s="9">
        <v>60.8</v>
      </c>
      <c r="AW34" s="9">
        <f t="shared" si="18"/>
        <v>0.19999999999999929</v>
      </c>
      <c r="AX34" s="10">
        <f t="shared" si="19"/>
        <v>43.2</v>
      </c>
    </row>
    <row r="35" spans="2:50" x14ac:dyDescent="0.25">
      <c r="B35" s="14" t="s">
        <v>71</v>
      </c>
      <c r="C35" s="9">
        <v>16</v>
      </c>
      <c r="D35" s="9">
        <v>15.8</v>
      </c>
      <c r="E35" s="9">
        <v>100</v>
      </c>
      <c r="F35" s="9">
        <v>63.2</v>
      </c>
      <c r="G35" s="9">
        <f t="shared" si="10"/>
        <v>0.19999999999999929</v>
      </c>
      <c r="H35" s="10">
        <f t="shared" si="11"/>
        <v>36.799999999999997</v>
      </c>
      <c r="L35" s="14" t="s">
        <v>71</v>
      </c>
      <c r="M35" s="9">
        <v>16</v>
      </c>
      <c r="N35" s="9">
        <v>15.1</v>
      </c>
      <c r="O35" s="9">
        <v>100</v>
      </c>
      <c r="P35" s="9">
        <v>64.8</v>
      </c>
      <c r="Q35" s="9">
        <f t="shared" si="12"/>
        <v>0.90000000000000036</v>
      </c>
      <c r="R35" s="10">
        <f t="shared" si="13"/>
        <v>35.200000000000003</v>
      </c>
      <c r="V35" s="14" t="s">
        <v>71</v>
      </c>
      <c r="W35" s="9">
        <v>16</v>
      </c>
      <c r="X35" s="9">
        <v>16</v>
      </c>
      <c r="Y35" s="9">
        <v>100</v>
      </c>
      <c r="Z35" s="9">
        <v>94.3</v>
      </c>
      <c r="AA35" s="9">
        <f t="shared" si="14"/>
        <v>0</v>
      </c>
      <c r="AB35" s="10">
        <f t="shared" si="15"/>
        <v>5.7000000000000028</v>
      </c>
      <c r="AG35" s="14" t="s">
        <v>71</v>
      </c>
      <c r="AH35" s="9">
        <v>16</v>
      </c>
      <c r="AI35" s="9"/>
      <c r="AJ35" s="9">
        <v>100</v>
      </c>
      <c r="AK35" s="9">
        <v>103.8</v>
      </c>
      <c r="AL35" s="9">
        <f t="shared" si="16"/>
        <v>16</v>
      </c>
      <c r="AM35" s="10">
        <f t="shared" si="17"/>
        <v>3.7999999999999972</v>
      </c>
      <c r="AR35" s="14" t="s">
        <v>71</v>
      </c>
      <c r="AS35" s="9">
        <v>16</v>
      </c>
      <c r="AT35" s="9">
        <v>16</v>
      </c>
      <c r="AU35" s="9">
        <v>100</v>
      </c>
      <c r="AV35" s="9">
        <v>61.2</v>
      </c>
      <c r="AW35" s="9">
        <f t="shared" si="18"/>
        <v>0</v>
      </c>
      <c r="AX35" s="10">
        <f t="shared" si="19"/>
        <v>38.799999999999997</v>
      </c>
    </row>
    <row r="36" spans="2:50" x14ac:dyDescent="0.25">
      <c r="B36" s="14" t="s">
        <v>72</v>
      </c>
      <c r="C36" s="9">
        <v>15.6</v>
      </c>
      <c r="D36" s="9">
        <v>15.3</v>
      </c>
      <c r="E36" s="9">
        <v>110</v>
      </c>
      <c r="F36" s="9">
        <v>78.8</v>
      </c>
      <c r="G36" s="9">
        <f t="shared" si="10"/>
        <v>0.29999999999999893</v>
      </c>
      <c r="H36" s="10">
        <f t="shared" si="11"/>
        <v>31.200000000000003</v>
      </c>
      <c r="L36" s="14" t="s">
        <v>72</v>
      </c>
      <c r="M36" s="9">
        <v>15.6</v>
      </c>
      <c r="N36" s="9">
        <v>15</v>
      </c>
      <c r="O36" s="9">
        <v>110</v>
      </c>
      <c r="P36" s="9">
        <v>49.6</v>
      </c>
      <c r="Q36" s="9">
        <f t="shared" si="12"/>
        <v>0.59999999999999964</v>
      </c>
      <c r="R36" s="10">
        <f t="shared" si="13"/>
        <v>60.4</v>
      </c>
      <c r="V36" s="14" t="s">
        <v>72</v>
      </c>
      <c r="W36" s="9">
        <v>15.6</v>
      </c>
      <c r="X36" s="9">
        <v>15.2</v>
      </c>
      <c r="Y36" s="9">
        <v>110</v>
      </c>
      <c r="Z36" s="9">
        <v>96</v>
      </c>
      <c r="AA36" s="9">
        <f t="shared" si="14"/>
        <v>0.40000000000000036</v>
      </c>
      <c r="AB36" s="10">
        <f t="shared" si="15"/>
        <v>14</v>
      </c>
      <c r="AG36" s="14" t="s">
        <v>72</v>
      </c>
      <c r="AH36" s="9">
        <v>15.6</v>
      </c>
      <c r="AI36" s="9"/>
      <c r="AJ36" s="9">
        <v>110</v>
      </c>
      <c r="AK36" s="9">
        <v>137.80000000000001</v>
      </c>
      <c r="AL36" s="9">
        <f t="shared" si="16"/>
        <v>15.6</v>
      </c>
      <c r="AM36" s="10">
        <f t="shared" si="17"/>
        <v>27.800000000000011</v>
      </c>
      <c r="AR36" s="14" t="s">
        <v>72</v>
      </c>
      <c r="AS36" s="9">
        <v>15.6</v>
      </c>
      <c r="AT36" s="9">
        <v>15.2</v>
      </c>
      <c r="AU36" s="9">
        <v>110</v>
      </c>
      <c r="AV36" s="9">
        <v>79.5</v>
      </c>
      <c r="AW36" s="9">
        <f t="shared" si="18"/>
        <v>0.40000000000000036</v>
      </c>
      <c r="AX36" s="10">
        <f t="shared" si="19"/>
        <v>30.5</v>
      </c>
    </row>
    <row r="37" spans="2:50" x14ac:dyDescent="0.25">
      <c r="B37" s="14" t="s">
        <v>73</v>
      </c>
      <c r="C37" s="9">
        <v>15.4</v>
      </c>
      <c r="D37" s="9">
        <v>15.1</v>
      </c>
      <c r="E37" s="9">
        <v>100</v>
      </c>
      <c r="F37" s="9">
        <v>66.3</v>
      </c>
      <c r="G37" s="9">
        <f t="shared" si="10"/>
        <v>0.30000000000000071</v>
      </c>
      <c r="H37" s="10">
        <f t="shared" si="11"/>
        <v>33.700000000000003</v>
      </c>
      <c r="L37" s="14" t="s">
        <v>73</v>
      </c>
      <c r="M37" s="9">
        <v>15.4</v>
      </c>
      <c r="N37" s="9">
        <v>14.7</v>
      </c>
      <c r="O37" s="9">
        <v>100</v>
      </c>
      <c r="P37" s="9">
        <v>60</v>
      </c>
      <c r="Q37" s="9">
        <f t="shared" si="12"/>
        <v>0.70000000000000107</v>
      </c>
      <c r="R37" s="10">
        <f t="shared" si="13"/>
        <v>40</v>
      </c>
      <c r="V37" s="14" t="s">
        <v>73</v>
      </c>
      <c r="W37" s="9">
        <v>15.4</v>
      </c>
      <c r="X37" s="9">
        <v>15.2</v>
      </c>
      <c r="Y37" s="9">
        <v>100</v>
      </c>
      <c r="Z37" s="9">
        <v>96.7</v>
      </c>
      <c r="AA37" s="9">
        <f t="shared" si="14"/>
        <v>0.20000000000000107</v>
      </c>
      <c r="AB37" s="10">
        <f t="shared" si="15"/>
        <v>3.2999999999999972</v>
      </c>
      <c r="AG37" s="14" t="s">
        <v>73</v>
      </c>
      <c r="AH37" s="9">
        <v>15.4</v>
      </c>
      <c r="AI37" s="9"/>
      <c r="AJ37" s="9">
        <v>100</v>
      </c>
      <c r="AK37" s="9">
        <v>113.7</v>
      </c>
      <c r="AL37" s="9">
        <f t="shared" si="16"/>
        <v>15.4</v>
      </c>
      <c r="AM37" s="10">
        <f t="shared" si="17"/>
        <v>13.700000000000003</v>
      </c>
      <c r="AR37" s="14" t="s">
        <v>73</v>
      </c>
      <c r="AS37" s="9">
        <v>15.4</v>
      </c>
      <c r="AT37" s="9">
        <v>15.1</v>
      </c>
      <c r="AU37" s="9">
        <v>100</v>
      </c>
      <c r="AV37" s="9">
        <v>60.5</v>
      </c>
      <c r="AW37" s="9">
        <f t="shared" si="18"/>
        <v>0.30000000000000071</v>
      </c>
      <c r="AX37" s="10">
        <f t="shared" si="19"/>
        <v>39.5</v>
      </c>
    </row>
    <row r="38" spans="2:50" x14ac:dyDescent="0.25">
      <c r="B38" s="14" t="s">
        <v>74</v>
      </c>
      <c r="C38" s="9">
        <v>16</v>
      </c>
      <c r="D38" s="9">
        <v>16</v>
      </c>
      <c r="E38" s="9">
        <v>100</v>
      </c>
      <c r="F38" s="9">
        <v>50</v>
      </c>
      <c r="G38" s="9">
        <f t="shared" si="10"/>
        <v>0</v>
      </c>
      <c r="H38" s="10">
        <f t="shared" si="11"/>
        <v>50</v>
      </c>
      <c r="L38" s="14" t="s">
        <v>74</v>
      </c>
      <c r="M38" s="9">
        <v>16</v>
      </c>
      <c r="N38" s="9">
        <v>16</v>
      </c>
      <c r="O38" s="9">
        <v>100</v>
      </c>
      <c r="P38" s="9">
        <v>48.8</v>
      </c>
      <c r="Q38" s="9">
        <f t="shared" si="12"/>
        <v>0</v>
      </c>
      <c r="R38" s="10">
        <f t="shared" si="13"/>
        <v>51.2</v>
      </c>
      <c r="V38" s="14" t="s">
        <v>74</v>
      </c>
      <c r="W38" s="9">
        <v>16</v>
      </c>
      <c r="X38" s="9">
        <v>15.2</v>
      </c>
      <c r="Y38" s="9">
        <v>100</v>
      </c>
      <c r="Z38" s="9">
        <v>97.6</v>
      </c>
      <c r="AA38" s="9">
        <f t="shared" si="14"/>
        <v>0.80000000000000071</v>
      </c>
      <c r="AB38" s="10">
        <f t="shared" si="15"/>
        <v>2.4000000000000057</v>
      </c>
      <c r="AG38" s="14" t="s">
        <v>74</v>
      </c>
      <c r="AH38" s="9">
        <v>16</v>
      </c>
      <c r="AI38" s="9"/>
      <c r="AJ38" s="9">
        <v>100</v>
      </c>
      <c r="AK38" s="9">
        <v>122</v>
      </c>
      <c r="AL38" s="9">
        <f t="shared" si="16"/>
        <v>16</v>
      </c>
      <c r="AM38" s="10">
        <f t="shared" si="17"/>
        <v>22</v>
      </c>
      <c r="AR38" s="14" t="s">
        <v>74</v>
      </c>
      <c r="AS38" s="9">
        <v>16</v>
      </c>
      <c r="AT38" s="9">
        <v>15.8</v>
      </c>
      <c r="AU38" s="9">
        <v>100</v>
      </c>
      <c r="AV38" s="9">
        <v>47.4</v>
      </c>
      <c r="AW38" s="9">
        <f t="shared" si="18"/>
        <v>0.19999999999999929</v>
      </c>
      <c r="AX38" s="10">
        <f t="shared" si="19"/>
        <v>52.6</v>
      </c>
    </row>
    <row r="39" spans="2:50" x14ac:dyDescent="0.25">
      <c r="B39" s="14" t="s">
        <v>75</v>
      </c>
      <c r="C39" s="9">
        <v>12</v>
      </c>
      <c r="D39" s="9">
        <v>11.8</v>
      </c>
      <c r="E39" s="9">
        <v>96</v>
      </c>
      <c r="F39" s="9">
        <v>73.2</v>
      </c>
      <c r="G39" s="9">
        <f t="shared" si="10"/>
        <v>0.19999999999999929</v>
      </c>
      <c r="H39" s="10">
        <f t="shared" si="11"/>
        <v>22.799999999999997</v>
      </c>
      <c r="L39" s="14" t="s">
        <v>75</v>
      </c>
      <c r="M39" s="9">
        <v>12</v>
      </c>
      <c r="N39" s="9">
        <v>10.9</v>
      </c>
      <c r="O39" s="9">
        <v>96</v>
      </c>
      <c r="P39" s="9">
        <v>93.6</v>
      </c>
      <c r="Q39" s="9">
        <f t="shared" si="12"/>
        <v>1.0999999999999996</v>
      </c>
      <c r="R39" s="10">
        <f t="shared" si="13"/>
        <v>2.4000000000000057</v>
      </c>
      <c r="V39" s="14" t="s">
        <v>75</v>
      </c>
      <c r="W39" s="9">
        <v>12</v>
      </c>
      <c r="X39" s="9">
        <v>11.7</v>
      </c>
      <c r="Y39" s="9">
        <v>96</v>
      </c>
      <c r="Z39" s="9">
        <v>94.3</v>
      </c>
      <c r="AA39" s="9">
        <f t="shared" si="14"/>
        <v>0.30000000000000071</v>
      </c>
      <c r="AB39" s="10">
        <f t="shared" si="15"/>
        <v>1.7000000000000028</v>
      </c>
      <c r="AG39" s="14" t="s">
        <v>75</v>
      </c>
      <c r="AH39" s="9">
        <v>12</v>
      </c>
      <c r="AI39" s="9"/>
      <c r="AJ39" s="9">
        <v>96</v>
      </c>
      <c r="AK39" s="9">
        <v>219</v>
      </c>
      <c r="AL39" s="9">
        <f t="shared" si="16"/>
        <v>12</v>
      </c>
      <c r="AM39" s="10">
        <f t="shared" si="17"/>
        <v>123</v>
      </c>
      <c r="AR39" s="14" t="s">
        <v>75</v>
      </c>
      <c r="AS39" s="9">
        <v>12</v>
      </c>
      <c r="AT39" s="9">
        <v>11.9</v>
      </c>
      <c r="AU39" s="9">
        <v>96</v>
      </c>
      <c r="AV39" s="9">
        <v>76.2</v>
      </c>
      <c r="AW39" s="9">
        <f t="shared" si="18"/>
        <v>9.9999999999999645E-2</v>
      </c>
      <c r="AX39" s="10">
        <f t="shared" si="19"/>
        <v>19.799999999999997</v>
      </c>
    </row>
    <row r="40" spans="2:50" x14ac:dyDescent="0.25">
      <c r="B40" s="14" t="s">
        <v>76</v>
      </c>
      <c r="C40" s="9">
        <v>13.6</v>
      </c>
      <c r="D40" s="9">
        <v>13</v>
      </c>
      <c r="E40" s="9">
        <v>100</v>
      </c>
      <c r="F40" s="9">
        <v>63</v>
      </c>
      <c r="G40" s="9">
        <f t="shared" si="10"/>
        <v>0.59999999999999964</v>
      </c>
      <c r="H40" s="10">
        <f t="shared" si="11"/>
        <v>37</v>
      </c>
      <c r="L40" s="14" t="s">
        <v>76</v>
      </c>
      <c r="M40" s="9">
        <v>13.6</v>
      </c>
      <c r="N40" s="9">
        <v>13.7</v>
      </c>
      <c r="O40" s="9">
        <v>100</v>
      </c>
      <c r="P40" s="9">
        <v>58.4</v>
      </c>
      <c r="Q40" s="9">
        <f t="shared" si="12"/>
        <v>9.9999999999999645E-2</v>
      </c>
      <c r="R40" s="10">
        <f t="shared" si="13"/>
        <v>41.6</v>
      </c>
      <c r="V40" s="14" t="s">
        <v>76</v>
      </c>
      <c r="W40" s="9">
        <v>13.6</v>
      </c>
      <c r="X40" s="9">
        <v>12.9</v>
      </c>
      <c r="Y40" s="9">
        <v>100</v>
      </c>
      <c r="Z40" s="9">
        <v>103.1</v>
      </c>
      <c r="AA40" s="9">
        <f t="shared" si="14"/>
        <v>0.69999999999999929</v>
      </c>
      <c r="AB40" s="10">
        <f t="shared" si="15"/>
        <v>3.0999999999999943</v>
      </c>
      <c r="AG40" s="14" t="s">
        <v>76</v>
      </c>
      <c r="AH40" s="9">
        <v>13.6</v>
      </c>
      <c r="AI40" s="9"/>
      <c r="AJ40" s="9">
        <v>100</v>
      </c>
      <c r="AK40" s="9">
        <v>150</v>
      </c>
      <c r="AL40" s="9">
        <f t="shared" si="16"/>
        <v>13.6</v>
      </c>
      <c r="AM40" s="10">
        <f t="shared" si="17"/>
        <v>50</v>
      </c>
      <c r="AR40" s="14" t="s">
        <v>76</v>
      </c>
      <c r="AS40" s="9">
        <v>13.6</v>
      </c>
      <c r="AT40" s="9">
        <v>13.4</v>
      </c>
      <c r="AU40" s="9">
        <v>100</v>
      </c>
      <c r="AV40" s="9">
        <v>51.2</v>
      </c>
      <c r="AW40" s="9">
        <f t="shared" si="18"/>
        <v>0.19999999999999929</v>
      </c>
      <c r="AX40" s="10">
        <f t="shared" si="19"/>
        <v>48.8</v>
      </c>
    </row>
    <row r="41" spans="2:50" x14ac:dyDescent="0.25">
      <c r="B41" s="14" t="s">
        <v>77</v>
      </c>
      <c r="C41" s="9">
        <v>13.6</v>
      </c>
      <c r="D41" s="9">
        <v>13.3</v>
      </c>
      <c r="E41" s="9">
        <v>95</v>
      </c>
      <c r="F41" s="9">
        <v>58</v>
      </c>
      <c r="G41" s="9">
        <f t="shared" si="10"/>
        <v>0.29999999999999893</v>
      </c>
      <c r="H41" s="10">
        <f t="shared" si="11"/>
        <v>37</v>
      </c>
      <c r="L41" s="14" t="s">
        <v>77</v>
      </c>
      <c r="M41" s="9">
        <v>13.6</v>
      </c>
      <c r="N41" s="9">
        <v>13.6</v>
      </c>
      <c r="O41" s="9">
        <v>95</v>
      </c>
      <c r="P41" s="9">
        <v>49.6</v>
      </c>
      <c r="Q41" s="9">
        <f t="shared" si="12"/>
        <v>0</v>
      </c>
      <c r="R41" s="10">
        <f t="shared" si="13"/>
        <v>45.4</v>
      </c>
      <c r="V41" s="14" t="s">
        <v>77</v>
      </c>
      <c r="W41" s="9">
        <v>13.6</v>
      </c>
      <c r="X41" s="9">
        <v>12.9</v>
      </c>
      <c r="Y41" s="9">
        <v>95</v>
      </c>
      <c r="Z41" s="9">
        <v>93.8</v>
      </c>
      <c r="AA41" s="9">
        <f t="shared" si="14"/>
        <v>0.69999999999999929</v>
      </c>
      <c r="AB41" s="10">
        <f t="shared" si="15"/>
        <v>1.2000000000000028</v>
      </c>
      <c r="AG41" s="14" t="s">
        <v>77</v>
      </c>
      <c r="AH41" s="9">
        <v>13.6</v>
      </c>
      <c r="AI41" s="9"/>
      <c r="AJ41" s="9">
        <v>95</v>
      </c>
      <c r="AK41" s="9">
        <v>117</v>
      </c>
      <c r="AL41" s="9">
        <f t="shared" si="16"/>
        <v>13.6</v>
      </c>
      <c r="AM41" s="10">
        <f t="shared" si="17"/>
        <v>22</v>
      </c>
      <c r="AR41" s="14" t="s">
        <v>77</v>
      </c>
      <c r="AS41" s="9">
        <v>13.6</v>
      </c>
      <c r="AT41" s="9">
        <v>13.9</v>
      </c>
      <c r="AU41" s="9">
        <v>95</v>
      </c>
      <c r="AV41" s="9">
        <v>61.5</v>
      </c>
      <c r="AW41" s="9">
        <f t="shared" si="18"/>
        <v>0.30000000000000071</v>
      </c>
      <c r="AX41" s="10">
        <f t="shared" si="19"/>
        <v>33.5</v>
      </c>
    </row>
    <row r="42" spans="2:50" x14ac:dyDescent="0.25">
      <c r="B42" s="14" t="s">
        <v>78</v>
      </c>
      <c r="C42" s="9">
        <v>14</v>
      </c>
      <c r="D42" s="9">
        <v>13.8</v>
      </c>
      <c r="E42" s="9">
        <v>97</v>
      </c>
      <c r="F42" s="9">
        <v>60.8</v>
      </c>
      <c r="G42" s="9">
        <f t="shared" si="10"/>
        <v>0.19999999999999929</v>
      </c>
      <c r="H42" s="10">
        <f t="shared" si="11"/>
        <v>36.200000000000003</v>
      </c>
      <c r="L42" s="14" t="s">
        <v>78</v>
      </c>
      <c r="M42" s="9">
        <v>14</v>
      </c>
      <c r="N42" s="9">
        <v>13.9</v>
      </c>
      <c r="O42" s="9">
        <v>97</v>
      </c>
      <c r="P42" s="9">
        <v>54</v>
      </c>
      <c r="Q42" s="9">
        <f t="shared" si="12"/>
        <v>9.9999999999999645E-2</v>
      </c>
      <c r="R42" s="10">
        <f t="shared" si="13"/>
        <v>43</v>
      </c>
      <c r="V42" s="14" t="s">
        <v>78</v>
      </c>
      <c r="W42" s="9">
        <v>14</v>
      </c>
      <c r="X42" s="9">
        <v>13.5</v>
      </c>
      <c r="Y42" s="9">
        <v>97</v>
      </c>
      <c r="Z42" s="9">
        <v>94.9</v>
      </c>
      <c r="AA42" s="9">
        <f t="shared" si="14"/>
        <v>0.5</v>
      </c>
      <c r="AB42" s="10">
        <f t="shared" si="15"/>
        <v>2.0999999999999943</v>
      </c>
      <c r="AG42" s="14" t="s">
        <v>78</v>
      </c>
      <c r="AH42" s="9">
        <v>14</v>
      </c>
      <c r="AI42" s="9"/>
      <c r="AJ42" s="9">
        <v>97</v>
      </c>
      <c r="AK42" s="9">
        <v>93</v>
      </c>
      <c r="AL42" s="9">
        <f t="shared" si="16"/>
        <v>14</v>
      </c>
      <c r="AM42" s="10">
        <f t="shared" si="17"/>
        <v>4</v>
      </c>
      <c r="AR42" s="14" t="s">
        <v>78</v>
      </c>
      <c r="AS42" s="9">
        <v>14</v>
      </c>
      <c r="AT42" s="9">
        <v>13.4</v>
      </c>
      <c r="AU42" s="9">
        <v>97</v>
      </c>
      <c r="AV42" s="9">
        <v>61</v>
      </c>
      <c r="AW42" s="9">
        <f t="shared" si="18"/>
        <v>0.59999999999999964</v>
      </c>
      <c r="AX42" s="10">
        <f t="shared" si="19"/>
        <v>36</v>
      </c>
    </row>
    <row r="43" spans="2:50" x14ac:dyDescent="0.25">
      <c r="B43" s="14" t="s">
        <v>79</v>
      </c>
      <c r="C43" s="9">
        <v>12.6</v>
      </c>
      <c r="D43" s="9">
        <v>12</v>
      </c>
      <c r="E43" s="9">
        <v>100</v>
      </c>
      <c r="F43" s="9">
        <v>74.7</v>
      </c>
      <c r="G43" s="9">
        <f t="shared" si="10"/>
        <v>0.59999999999999964</v>
      </c>
      <c r="H43" s="10">
        <f t="shared" si="11"/>
        <v>25.299999999999997</v>
      </c>
      <c r="L43" s="14" t="s">
        <v>79</v>
      </c>
      <c r="M43" s="9">
        <v>12.6</v>
      </c>
      <c r="N43" s="9">
        <v>12.9</v>
      </c>
      <c r="O43" s="9">
        <v>100</v>
      </c>
      <c r="P43" s="9">
        <v>59.2</v>
      </c>
      <c r="Q43" s="9">
        <f t="shared" si="12"/>
        <v>0.30000000000000071</v>
      </c>
      <c r="R43" s="10">
        <f t="shared" si="13"/>
        <v>40.799999999999997</v>
      </c>
      <c r="V43" s="14" t="s">
        <v>79</v>
      </c>
      <c r="W43" s="9">
        <v>12.6</v>
      </c>
      <c r="X43" s="9">
        <v>11.7</v>
      </c>
      <c r="Y43" s="9">
        <v>100</v>
      </c>
      <c r="Z43" s="9">
        <v>94.6</v>
      </c>
      <c r="AA43" s="9">
        <f t="shared" si="14"/>
        <v>0.90000000000000036</v>
      </c>
      <c r="AB43" s="10">
        <f t="shared" si="15"/>
        <v>5.4000000000000057</v>
      </c>
      <c r="AG43" s="14" t="s">
        <v>79</v>
      </c>
      <c r="AH43" s="9">
        <v>12.6</v>
      </c>
      <c r="AI43" s="9"/>
      <c r="AJ43" s="9">
        <v>100</v>
      </c>
      <c r="AK43" s="9">
        <v>238</v>
      </c>
      <c r="AL43" s="9">
        <f t="shared" si="16"/>
        <v>12.6</v>
      </c>
      <c r="AM43" s="10">
        <f t="shared" si="17"/>
        <v>138</v>
      </c>
      <c r="AR43" s="14" t="s">
        <v>79</v>
      </c>
      <c r="AS43" s="9">
        <v>12.6</v>
      </c>
      <c r="AT43" s="9">
        <v>12.2</v>
      </c>
      <c r="AU43" s="9">
        <v>100</v>
      </c>
      <c r="AV43" s="9">
        <v>53.3</v>
      </c>
      <c r="AW43" s="9">
        <f t="shared" si="18"/>
        <v>0.40000000000000036</v>
      </c>
      <c r="AX43" s="10">
        <f t="shared" si="19"/>
        <v>46.7</v>
      </c>
    </row>
    <row r="44" spans="2:50" x14ac:dyDescent="0.25">
      <c r="B44" s="14" t="s">
        <v>80</v>
      </c>
      <c r="C44" s="9">
        <v>14.4</v>
      </c>
      <c r="D44" s="9">
        <v>14.2</v>
      </c>
      <c r="E44" s="9">
        <v>110</v>
      </c>
      <c r="F44" s="9">
        <v>68.099999999999994</v>
      </c>
      <c r="G44" s="9">
        <f t="shared" si="10"/>
        <v>0.20000000000000107</v>
      </c>
      <c r="H44" s="10">
        <f t="shared" si="11"/>
        <v>41.900000000000006</v>
      </c>
      <c r="L44" s="14" t="s">
        <v>80</v>
      </c>
      <c r="M44" s="9">
        <v>14.4</v>
      </c>
      <c r="N44" s="9">
        <v>13.8</v>
      </c>
      <c r="O44" s="9">
        <v>110</v>
      </c>
      <c r="P44" s="9">
        <v>81.599999999999994</v>
      </c>
      <c r="Q44" s="9">
        <f t="shared" si="12"/>
        <v>0.59999999999999964</v>
      </c>
      <c r="R44" s="10">
        <f t="shared" si="13"/>
        <v>28.400000000000006</v>
      </c>
      <c r="V44" s="14" t="s">
        <v>80</v>
      </c>
      <c r="W44" s="9">
        <v>14.4</v>
      </c>
      <c r="X44" s="9">
        <v>13.5</v>
      </c>
      <c r="Y44" s="9">
        <v>110</v>
      </c>
      <c r="Z44" s="9">
        <v>94</v>
      </c>
      <c r="AA44" s="9">
        <f t="shared" si="14"/>
        <v>0.90000000000000036</v>
      </c>
      <c r="AB44" s="10">
        <f t="shared" si="15"/>
        <v>16</v>
      </c>
      <c r="AG44" s="14" t="s">
        <v>80</v>
      </c>
      <c r="AH44" s="9">
        <v>14.4</v>
      </c>
      <c r="AI44" s="9"/>
      <c r="AJ44" s="9">
        <v>110</v>
      </c>
      <c r="AK44" s="9">
        <v>144</v>
      </c>
      <c r="AL44" s="9">
        <f t="shared" si="16"/>
        <v>14.4</v>
      </c>
      <c r="AM44" s="10">
        <f t="shared" si="17"/>
        <v>34</v>
      </c>
      <c r="AR44" s="14" t="s">
        <v>80</v>
      </c>
      <c r="AS44" s="9">
        <v>14.4</v>
      </c>
      <c r="AT44" s="9">
        <v>14</v>
      </c>
      <c r="AU44" s="9">
        <v>110</v>
      </c>
      <c r="AV44" s="9">
        <v>90.5</v>
      </c>
      <c r="AW44" s="9">
        <f t="shared" si="18"/>
        <v>0.40000000000000036</v>
      </c>
      <c r="AX44" s="10">
        <f t="shared" si="19"/>
        <v>19.5</v>
      </c>
    </row>
    <row r="45" spans="2:50" x14ac:dyDescent="0.25">
      <c r="B45" s="14" t="s">
        <v>81</v>
      </c>
      <c r="C45" s="9">
        <v>15.2</v>
      </c>
      <c r="D45" s="9">
        <v>15</v>
      </c>
      <c r="E45" s="9">
        <v>106</v>
      </c>
      <c r="F45" s="9">
        <v>55.1</v>
      </c>
      <c r="G45" s="9">
        <f t="shared" si="10"/>
        <v>0.19999999999999929</v>
      </c>
      <c r="H45" s="10">
        <f t="shared" si="11"/>
        <v>50.9</v>
      </c>
      <c r="L45" s="14" t="s">
        <v>81</v>
      </c>
      <c r="M45" s="9">
        <v>15.2</v>
      </c>
      <c r="N45" s="9">
        <v>14.7</v>
      </c>
      <c r="O45" s="9">
        <v>106</v>
      </c>
      <c r="P45" s="9">
        <v>61.6</v>
      </c>
      <c r="Q45" s="9">
        <f t="shared" si="12"/>
        <v>0.5</v>
      </c>
      <c r="R45" s="10">
        <f t="shared" si="13"/>
        <v>44.4</v>
      </c>
      <c r="V45" s="14" t="s">
        <v>81</v>
      </c>
      <c r="W45" s="9">
        <v>15.2</v>
      </c>
      <c r="X45" s="9">
        <v>13.8</v>
      </c>
      <c r="Y45" s="9">
        <v>106</v>
      </c>
      <c r="Z45" s="9">
        <v>87.6</v>
      </c>
      <c r="AA45" s="9">
        <f t="shared" si="14"/>
        <v>1.3999999999999986</v>
      </c>
      <c r="AB45" s="10">
        <f t="shared" si="15"/>
        <v>18.400000000000006</v>
      </c>
      <c r="AG45" s="14" t="s">
        <v>81</v>
      </c>
      <c r="AH45" s="9">
        <v>15.2</v>
      </c>
      <c r="AI45" s="9"/>
      <c r="AJ45" s="9">
        <v>106</v>
      </c>
      <c r="AK45" s="9">
        <v>261</v>
      </c>
      <c r="AL45" s="9">
        <f t="shared" si="16"/>
        <v>15.2</v>
      </c>
      <c r="AM45" s="10">
        <f t="shared" si="17"/>
        <v>155</v>
      </c>
      <c r="AR45" s="14" t="s">
        <v>81</v>
      </c>
      <c r="AS45" s="9">
        <v>15.2</v>
      </c>
      <c r="AT45" s="9">
        <v>15.5</v>
      </c>
      <c r="AU45" s="9">
        <v>106</v>
      </c>
      <c r="AV45" s="9">
        <v>65.400000000000006</v>
      </c>
      <c r="AW45" s="9">
        <f t="shared" si="18"/>
        <v>0.30000000000000071</v>
      </c>
      <c r="AX45" s="10">
        <f t="shared" si="19"/>
        <v>40.599999999999994</v>
      </c>
    </row>
    <row r="46" spans="2:50" x14ac:dyDescent="0.25">
      <c r="B46" s="14" t="s">
        <v>82</v>
      </c>
      <c r="C46" s="9">
        <v>15.6</v>
      </c>
      <c r="D46" s="9">
        <v>15.1</v>
      </c>
      <c r="E46" s="9">
        <v>108</v>
      </c>
      <c r="F46" s="9">
        <v>78.3</v>
      </c>
      <c r="G46" s="9">
        <f t="shared" si="10"/>
        <v>0.5</v>
      </c>
      <c r="H46" s="10">
        <f t="shared" si="11"/>
        <v>29.700000000000003</v>
      </c>
      <c r="L46" s="14" t="s">
        <v>82</v>
      </c>
      <c r="M46" s="9">
        <v>15.6</v>
      </c>
      <c r="N46" s="9">
        <v>14.8</v>
      </c>
      <c r="O46" s="9">
        <v>108</v>
      </c>
      <c r="P46" s="9">
        <v>60.8</v>
      </c>
      <c r="Q46" s="9">
        <f t="shared" si="12"/>
        <v>0.79999999999999893</v>
      </c>
      <c r="R46" s="10">
        <f t="shared" si="13"/>
        <v>47.2</v>
      </c>
      <c r="V46" s="14" t="s">
        <v>82</v>
      </c>
      <c r="W46" s="9">
        <v>15.6</v>
      </c>
      <c r="X46" s="9">
        <v>13.8</v>
      </c>
      <c r="Y46" s="9">
        <v>108</v>
      </c>
      <c r="Z46" s="9">
        <v>87.6</v>
      </c>
      <c r="AA46" s="9">
        <f t="shared" si="14"/>
        <v>1.7999999999999989</v>
      </c>
      <c r="AB46" s="10">
        <f t="shared" si="15"/>
        <v>20.400000000000006</v>
      </c>
      <c r="AG46" s="14" t="s">
        <v>82</v>
      </c>
      <c r="AH46" s="9">
        <v>15.6</v>
      </c>
      <c r="AI46" s="9"/>
      <c r="AJ46" s="9">
        <v>108</v>
      </c>
      <c r="AK46" s="9">
        <v>124</v>
      </c>
      <c r="AL46" s="9">
        <f t="shared" si="16"/>
        <v>15.6</v>
      </c>
      <c r="AM46" s="10">
        <f t="shared" si="17"/>
        <v>16</v>
      </c>
      <c r="AR46" s="14" t="s">
        <v>82</v>
      </c>
      <c r="AS46" s="9">
        <v>15.6</v>
      </c>
      <c r="AT46" s="9">
        <v>14.5</v>
      </c>
      <c r="AU46" s="9">
        <v>108</v>
      </c>
      <c r="AV46" s="9">
        <v>64.7</v>
      </c>
      <c r="AW46" s="9">
        <f t="shared" si="18"/>
        <v>1.0999999999999996</v>
      </c>
      <c r="AX46" s="10">
        <f t="shared" si="19"/>
        <v>43.3</v>
      </c>
    </row>
    <row r="47" spans="2:50" x14ac:dyDescent="0.25">
      <c r="B47" s="14" t="s">
        <v>83</v>
      </c>
      <c r="C47" s="9">
        <v>15.8</v>
      </c>
      <c r="D47" s="9">
        <v>15.1</v>
      </c>
      <c r="E47" s="9">
        <v>110</v>
      </c>
      <c r="F47" s="9">
        <v>83.2</v>
      </c>
      <c r="G47" s="9">
        <f t="shared" si="10"/>
        <v>0.70000000000000107</v>
      </c>
      <c r="H47" s="10">
        <f t="shared" si="11"/>
        <v>26.799999999999997</v>
      </c>
      <c r="L47" s="14" t="s">
        <v>83</v>
      </c>
      <c r="M47" s="9">
        <v>15.8</v>
      </c>
      <c r="N47" s="9">
        <v>14.8</v>
      </c>
      <c r="O47" s="9">
        <v>110</v>
      </c>
      <c r="P47" s="9">
        <v>92.8</v>
      </c>
      <c r="Q47" s="9">
        <f t="shared" si="12"/>
        <v>1</v>
      </c>
      <c r="R47" s="10">
        <f t="shared" si="13"/>
        <v>17.200000000000003</v>
      </c>
      <c r="V47" s="14" t="s">
        <v>83</v>
      </c>
      <c r="W47" s="9">
        <v>15.8</v>
      </c>
      <c r="X47" s="9">
        <v>12</v>
      </c>
      <c r="Y47" s="9">
        <v>110</v>
      </c>
      <c r="Z47" s="9">
        <v>98.1</v>
      </c>
      <c r="AA47" s="9">
        <f t="shared" si="14"/>
        <v>3.8000000000000007</v>
      </c>
      <c r="AB47" s="10">
        <f t="shared" si="15"/>
        <v>11.900000000000006</v>
      </c>
      <c r="AG47" s="14" t="s">
        <v>83</v>
      </c>
      <c r="AH47" s="9">
        <v>15.8</v>
      </c>
      <c r="AI47" s="9"/>
      <c r="AJ47" s="9">
        <v>110</v>
      </c>
      <c r="AK47" s="9">
        <v>143</v>
      </c>
      <c r="AL47" s="9">
        <f t="shared" si="16"/>
        <v>15.8</v>
      </c>
      <c r="AM47" s="10">
        <f t="shared" si="17"/>
        <v>33</v>
      </c>
      <c r="AR47" s="14" t="s">
        <v>83</v>
      </c>
      <c r="AS47" s="9">
        <v>15.8</v>
      </c>
      <c r="AT47" s="9">
        <v>16.2</v>
      </c>
      <c r="AU47" s="9">
        <v>110</v>
      </c>
      <c r="AV47" s="9">
        <v>88.7</v>
      </c>
      <c r="AW47" s="9">
        <f t="shared" si="18"/>
        <v>0.39999999999999858</v>
      </c>
      <c r="AX47" s="10">
        <f t="shared" si="19"/>
        <v>21.299999999999997</v>
      </c>
    </row>
    <row r="48" spans="2:50" x14ac:dyDescent="0.25">
      <c r="B48" s="14" t="s">
        <v>84</v>
      </c>
      <c r="C48" s="9">
        <v>16</v>
      </c>
      <c r="D48" s="9">
        <v>16</v>
      </c>
      <c r="E48" s="9">
        <v>110</v>
      </c>
      <c r="F48" s="9">
        <v>56.1</v>
      </c>
      <c r="G48" s="9">
        <f t="shared" si="10"/>
        <v>0</v>
      </c>
      <c r="H48" s="10">
        <f t="shared" si="11"/>
        <v>53.9</v>
      </c>
      <c r="L48" s="14" t="s">
        <v>84</v>
      </c>
      <c r="M48" s="9">
        <v>16</v>
      </c>
      <c r="N48" s="9">
        <v>15.4</v>
      </c>
      <c r="O48" s="9">
        <v>110</v>
      </c>
      <c r="P48" s="9">
        <v>62</v>
      </c>
      <c r="Q48" s="9">
        <f t="shared" si="12"/>
        <v>0.59999999999999964</v>
      </c>
      <c r="R48" s="10">
        <f t="shared" si="13"/>
        <v>48</v>
      </c>
      <c r="V48" s="14" t="s">
        <v>84</v>
      </c>
      <c r="W48" s="9">
        <v>16</v>
      </c>
      <c r="X48" s="9">
        <v>12.3</v>
      </c>
      <c r="Y48" s="9">
        <v>110</v>
      </c>
      <c r="Z48" s="9">
        <v>92</v>
      </c>
      <c r="AA48" s="9">
        <f t="shared" si="14"/>
        <v>3.6999999999999993</v>
      </c>
      <c r="AB48" s="10">
        <f t="shared" si="15"/>
        <v>18</v>
      </c>
      <c r="AG48" s="14" t="s">
        <v>84</v>
      </c>
      <c r="AH48" s="9">
        <v>16</v>
      </c>
      <c r="AI48" s="9"/>
      <c r="AJ48" s="9">
        <v>110</v>
      </c>
      <c r="AK48" s="9">
        <v>117</v>
      </c>
      <c r="AL48" s="9">
        <f t="shared" si="16"/>
        <v>16</v>
      </c>
      <c r="AM48" s="10">
        <f t="shared" si="17"/>
        <v>7</v>
      </c>
      <c r="AR48" s="14" t="s">
        <v>84</v>
      </c>
      <c r="AS48" s="9">
        <v>16</v>
      </c>
      <c r="AT48" s="9">
        <v>15.6</v>
      </c>
      <c r="AU48" s="9">
        <v>110</v>
      </c>
      <c r="AV48" s="9">
        <v>66.900000000000006</v>
      </c>
      <c r="AW48" s="9">
        <f t="shared" si="18"/>
        <v>0.40000000000000036</v>
      </c>
      <c r="AX48" s="10">
        <f t="shared" si="19"/>
        <v>43.099999999999994</v>
      </c>
    </row>
    <row r="49" spans="2:50" x14ac:dyDescent="0.25">
      <c r="B49" s="14" t="s">
        <v>85</v>
      </c>
      <c r="C49" s="9">
        <v>16</v>
      </c>
      <c r="D49" s="9">
        <v>14.1</v>
      </c>
      <c r="E49" s="9">
        <v>110</v>
      </c>
      <c r="F49" s="9">
        <v>65.7</v>
      </c>
      <c r="G49" s="9">
        <f t="shared" si="10"/>
        <v>1.9000000000000004</v>
      </c>
      <c r="H49" s="10">
        <f t="shared" si="11"/>
        <v>44.3</v>
      </c>
      <c r="L49" s="14" t="s">
        <v>85</v>
      </c>
      <c r="M49" s="9">
        <v>16</v>
      </c>
      <c r="N49" s="9">
        <v>15.2</v>
      </c>
      <c r="O49" s="9">
        <v>110</v>
      </c>
      <c r="P49" s="9">
        <v>62.8</v>
      </c>
      <c r="Q49" s="9">
        <f t="shared" si="12"/>
        <v>0.80000000000000071</v>
      </c>
      <c r="R49" s="10">
        <f t="shared" si="13"/>
        <v>47.2</v>
      </c>
      <c r="V49" s="14" t="s">
        <v>85</v>
      </c>
      <c r="W49" s="9">
        <v>16</v>
      </c>
      <c r="X49" s="9">
        <v>11.7</v>
      </c>
      <c r="Y49" s="9">
        <v>110</v>
      </c>
      <c r="Z49" s="9">
        <v>92</v>
      </c>
      <c r="AA49" s="9">
        <f t="shared" si="14"/>
        <v>4.3000000000000007</v>
      </c>
      <c r="AB49" s="10">
        <f t="shared" si="15"/>
        <v>18</v>
      </c>
      <c r="AG49" s="14" t="s">
        <v>85</v>
      </c>
      <c r="AH49" s="9">
        <v>16</v>
      </c>
      <c r="AI49" s="9"/>
      <c r="AJ49" s="9">
        <v>110</v>
      </c>
      <c r="AK49" s="9">
        <v>283</v>
      </c>
      <c r="AL49" s="9">
        <f t="shared" si="16"/>
        <v>16</v>
      </c>
      <c r="AM49" s="10">
        <f t="shared" si="17"/>
        <v>173</v>
      </c>
      <c r="AR49" s="14" t="s">
        <v>85</v>
      </c>
      <c r="AS49" s="9">
        <v>16</v>
      </c>
      <c r="AT49" s="9">
        <v>14.8</v>
      </c>
      <c r="AU49" s="9">
        <v>110</v>
      </c>
      <c r="AV49" s="9">
        <v>65.400000000000006</v>
      </c>
      <c r="AW49" s="9">
        <f t="shared" si="18"/>
        <v>1.1999999999999993</v>
      </c>
      <c r="AX49" s="10">
        <f t="shared" si="19"/>
        <v>44.599999999999994</v>
      </c>
    </row>
    <row r="50" spans="2:50" x14ac:dyDescent="0.25">
      <c r="B50" s="14" t="s">
        <v>86</v>
      </c>
      <c r="C50" s="9">
        <v>16</v>
      </c>
      <c r="D50" s="9">
        <v>16</v>
      </c>
      <c r="E50" s="9">
        <v>112</v>
      </c>
      <c r="F50" s="9">
        <v>51.9</v>
      </c>
      <c r="G50" s="9">
        <f t="shared" si="10"/>
        <v>0</v>
      </c>
      <c r="H50" s="10">
        <f t="shared" si="11"/>
        <v>60.1</v>
      </c>
      <c r="L50" s="14" t="s">
        <v>86</v>
      </c>
      <c r="M50" s="9">
        <v>16</v>
      </c>
      <c r="N50" s="9">
        <v>16.600000000000001</v>
      </c>
      <c r="O50" s="9">
        <v>112</v>
      </c>
      <c r="P50" s="9">
        <v>48.8</v>
      </c>
      <c r="Q50" s="9">
        <f t="shared" si="12"/>
        <v>0.60000000000000142</v>
      </c>
      <c r="R50" s="10">
        <f t="shared" si="13"/>
        <v>63.2</v>
      </c>
      <c r="V50" s="14" t="s">
        <v>86</v>
      </c>
      <c r="W50" s="9">
        <v>16</v>
      </c>
      <c r="X50" s="9">
        <v>14</v>
      </c>
      <c r="Y50" s="9">
        <v>112</v>
      </c>
      <c r="Z50" s="9">
        <v>87.3</v>
      </c>
      <c r="AA50" s="9">
        <f t="shared" si="14"/>
        <v>2</v>
      </c>
      <c r="AB50" s="10">
        <f t="shared" si="15"/>
        <v>24.700000000000003</v>
      </c>
      <c r="AG50" s="14" t="s">
        <v>86</v>
      </c>
      <c r="AH50" s="9">
        <v>16</v>
      </c>
      <c r="AI50" s="9"/>
      <c r="AJ50" s="9">
        <v>112</v>
      </c>
      <c r="AK50" s="9">
        <v>111.5</v>
      </c>
      <c r="AL50" s="9">
        <f t="shared" si="16"/>
        <v>16</v>
      </c>
      <c r="AM50" s="10">
        <f t="shared" si="17"/>
        <v>0.5</v>
      </c>
      <c r="AR50" s="14" t="s">
        <v>86</v>
      </c>
      <c r="AS50" s="9">
        <v>16</v>
      </c>
      <c r="AT50" s="9">
        <v>15.6</v>
      </c>
      <c r="AU50" s="9">
        <v>112</v>
      </c>
      <c r="AV50" s="9">
        <v>81.900000000000006</v>
      </c>
      <c r="AW50" s="9">
        <f t="shared" si="18"/>
        <v>0.40000000000000036</v>
      </c>
      <c r="AX50" s="10">
        <f t="shared" si="19"/>
        <v>30.099999999999994</v>
      </c>
    </row>
    <row r="51" spans="2:50" x14ac:dyDescent="0.25">
      <c r="B51" s="14" t="s">
        <v>87</v>
      </c>
      <c r="C51" s="9">
        <v>16</v>
      </c>
      <c r="D51" s="9">
        <v>16</v>
      </c>
      <c r="E51" s="9">
        <v>111</v>
      </c>
      <c r="F51" s="9">
        <v>68.2</v>
      </c>
      <c r="G51" s="9">
        <f t="shared" si="10"/>
        <v>0</v>
      </c>
      <c r="H51" s="10">
        <f t="shared" si="11"/>
        <v>42.8</v>
      </c>
      <c r="L51" s="14" t="s">
        <v>87</v>
      </c>
      <c r="M51" s="9">
        <v>16</v>
      </c>
      <c r="N51" s="9">
        <v>16.7</v>
      </c>
      <c r="O51" s="9">
        <v>111</v>
      </c>
      <c r="P51" s="9">
        <v>48.4</v>
      </c>
      <c r="Q51" s="9">
        <f t="shared" si="12"/>
        <v>0.69999999999999929</v>
      </c>
      <c r="R51" s="10">
        <f t="shared" si="13"/>
        <v>62.6</v>
      </c>
      <c r="V51" s="14" t="s">
        <v>87</v>
      </c>
      <c r="W51" s="9">
        <v>16</v>
      </c>
      <c r="X51" s="9">
        <v>14.9</v>
      </c>
      <c r="Y51" s="9">
        <v>111</v>
      </c>
      <c r="Z51" s="9">
        <v>91.1</v>
      </c>
      <c r="AA51" s="9">
        <f t="shared" si="14"/>
        <v>1.0999999999999996</v>
      </c>
      <c r="AB51" s="10">
        <f t="shared" si="15"/>
        <v>19.900000000000006</v>
      </c>
      <c r="AG51" s="14" t="s">
        <v>87</v>
      </c>
      <c r="AH51" s="9">
        <v>16</v>
      </c>
      <c r="AI51" s="9"/>
      <c r="AJ51" s="9">
        <v>111</v>
      </c>
      <c r="AK51" s="9">
        <v>111.1</v>
      </c>
      <c r="AL51" s="9">
        <f t="shared" si="16"/>
        <v>16</v>
      </c>
      <c r="AM51" s="10">
        <f t="shared" si="17"/>
        <v>9.9999999999994316E-2</v>
      </c>
      <c r="AR51" s="14" t="s">
        <v>87</v>
      </c>
      <c r="AS51" s="9">
        <v>16</v>
      </c>
      <c r="AT51" s="9">
        <v>14.8</v>
      </c>
      <c r="AU51" s="9">
        <v>111</v>
      </c>
      <c r="AV51" s="9">
        <v>87.1</v>
      </c>
      <c r="AW51" s="9">
        <f t="shared" si="18"/>
        <v>1.1999999999999993</v>
      </c>
      <c r="AX51" s="10">
        <f t="shared" si="19"/>
        <v>23.900000000000006</v>
      </c>
    </row>
    <row r="52" spans="2:50" x14ac:dyDescent="0.25">
      <c r="B52" s="14" t="s">
        <v>88</v>
      </c>
      <c r="C52" s="9">
        <v>13</v>
      </c>
      <c r="D52" s="9">
        <v>12.2</v>
      </c>
      <c r="E52" s="9">
        <v>110</v>
      </c>
      <c r="F52" s="9">
        <v>62.6</v>
      </c>
      <c r="G52" s="9">
        <f t="shared" si="10"/>
        <v>0.80000000000000071</v>
      </c>
      <c r="H52" s="10">
        <f t="shared" si="11"/>
        <v>47.4</v>
      </c>
      <c r="L52" s="14" t="s">
        <v>88</v>
      </c>
      <c r="M52" s="9">
        <v>13</v>
      </c>
      <c r="N52" s="9">
        <v>12.9</v>
      </c>
      <c r="O52" s="9">
        <v>110</v>
      </c>
      <c r="P52" s="9">
        <v>58.8</v>
      </c>
      <c r="Q52" s="9">
        <f t="shared" si="12"/>
        <v>9.9999999999999645E-2</v>
      </c>
      <c r="R52" s="10">
        <f t="shared" si="13"/>
        <v>51.2</v>
      </c>
      <c r="V52" s="14" t="s">
        <v>88</v>
      </c>
      <c r="W52" s="9">
        <v>13</v>
      </c>
      <c r="X52" s="9">
        <v>10.5</v>
      </c>
      <c r="Y52" s="9">
        <v>110</v>
      </c>
      <c r="Z52" s="9">
        <v>86.1</v>
      </c>
      <c r="AA52" s="9">
        <f t="shared" si="14"/>
        <v>2.5</v>
      </c>
      <c r="AB52" s="10">
        <f t="shared" si="15"/>
        <v>23.900000000000006</v>
      </c>
      <c r="AG52" s="14" t="s">
        <v>88</v>
      </c>
      <c r="AH52" s="9">
        <v>13</v>
      </c>
      <c r="AI52" s="9"/>
      <c r="AJ52" s="9">
        <v>110</v>
      </c>
      <c r="AK52" s="9">
        <v>145</v>
      </c>
      <c r="AL52" s="9">
        <f t="shared" si="16"/>
        <v>13</v>
      </c>
      <c r="AM52" s="10">
        <f t="shared" si="17"/>
        <v>35</v>
      </c>
      <c r="AR52" s="14" t="s">
        <v>88</v>
      </c>
      <c r="AS52" s="9">
        <v>13</v>
      </c>
      <c r="AT52" s="9">
        <v>11.8</v>
      </c>
      <c r="AU52" s="9">
        <v>110</v>
      </c>
      <c r="AV52" s="9">
        <v>74.099999999999994</v>
      </c>
      <c r="AW52" s="9">
        <f t="shared" si="18"/>
        <v>1.1999999999999993</v>
      </c>
      <c r="AX52" s="10">
        <f t="shared" si="19"/>
        <v>35.900000000000006</v>
      </c>
    </row>
    <row r="53" spans="2:50" x14ac:dyDescent="0.25">
      <c r="B53" s="14" t="s">
        <v>89</v>
      </c>
      <c r="C53" s="9">
        <v>13.4</v>
      </c>
      <c r="D53" s="9">
        <v>13.7</v>
      </c>
      <c r="E53" s="9">
        <v>111</v>
      </c>
      <c r="F53" s="9">
        <v>63.6</v>
      </c>
      <c r="G53" s="9">
        <f t="shared" si="10"/>
        <v>0.29999999999999893</v>
      </c>
      <c r="H53" s="10">
        <f t="shared" si="11"/>
        <v>47.4</v>
      </c>
      <c r="L53" s="14" t="s">
        <v>89</v>
      </c>
      <c r="M53" s="9">
        <v>13.4</v>
      </c>
      <c r="N53" s="9">
        <v>13.6</v>
      </c>
      <c r="O53" s="9">
        <v>111</v>
      </c>
      <c r="P53" s="9">
        <v>112.4</v>
      </c>
      <c r="Q53" s="9">
        <f t="shared" si="12"/>
        <v>0.19999999999999929</v>
      </c>
      <c r="R53" s="10">
        <f t="shared" si="13"/>
        <v>1.4000000000000057</v>
      </c>
      <c r="V53" s="14" t="s">
        <v>89</v>
      </c>
      <c r="W53" s="9">
        <v>13.4</v>
      </c>
      <c r="X53" s="9">
        <v>13.8</v>
      </c>
      <c r="Y53" s="9">
        <v>111</v>
      </c>
      <c r="Z53" s="9">
        <v>94.6</v>
      </c>
      <c r="AA53" s="9">
        <f t="shared" si="14"/>
        <v>0.40000000000000036</v>
      </c>
      <c r="AB53" s="10">
        <f t="shared" si="15"/>
        <v>16.400000000000006</v>
      </c>
      <c r="AG53" s="14" t="s">
        <v>89</v>
      </c>
      <c r="AH53" s="9">
        <v>13.4</v>
      </c>
      <c r="AI53" s="9"/>
      <c r="AJ53" s="9">
        <v>111</v>
      </c>
      <c r="AK53" s="9">
        <v>151</v>
      </c>
      <c r="AL53" s="9">
        <f t="shared" si="16"/>
        <v>13.4</v>
      </c>
      <c r="AM53" s="10">
        <f t="shared" si="17"/>
        <v>40</v>
      </c>
      <c r="AR53" s="14" t="s">
        <v>89</v>
      </c>
      <c r="AS53" s="9">
        <v>13.4</v>
      </c>
      <c r="AT53" s="9">
        <v>14</v>
      </c>
      <c r="AU53" s="9">
        <v>111</v>
      </c>
      <c r="AV53" s="9">
        <v>94.4</v>
      </c>
      <c r="AW53" s="9">
        <f t="shared" si="18"/>
        <v>0.59999999999999964</v>
      </c>
      <c r="AX53" s="10">
        <f t="shared" si="19"/>
        <v>16.599999999999994</v>
      </c>
    </row>
    <row r="54" spans="2:50" x14ac:dyDescent="0.25">
      <c r="B54" s="12" t="s">
        <v>4</v>
      </c>
      <c r="C54">
        <v>12</v>
      </c>
      <c r="D54">
        <v>11</v>
      </c>
      <c r="E54">
        <v>67</v>
      </c>
      <c r="F54">
        <v>69</v>
      </c>
      <c r="G54">
        <f>ABS(C54-D54)</f>
        <v>1</v>
      </c>
      <c r="H54" s="13">
        <f>ABS(E54-F54)</f>
        <v>2</v>
      </c>
      <c r="L54" s="12" t="s">
        <v>4</v>
      </c>
      <c r="M54">
        <v>12</v>
      </c>
      <c r="N54">
        <v>11.7</v>
      </c>
      <c r="O54">
        <v>67</v>
      </c>
      <c r="P54">
        <v>50</v>
      </c>
      <c r="Q54">
        <f>ABS(M54-N54)</f>
        <v>0.30000000000000071</v>
      </c>
      <c r="R54" s="13">
        <f>ABS(O54-P54)</f>
        <v>17</v>
      </c>
      <c r="V54" s="12" t="s">
        <v>4</v>
      </c>
      <c r="W54">
        <v>12</v>
      </c>
      <c r="X54">
        <v>11.7</v>
      </c>
      <c r="Y54">
        <v>67</v>
      </c>
      <c r="Z54">
        <v>109.9</v>
      </c>
      <c r="AA54">
        <f>ABS(W54-X54)</f>
        <v>0.30000000000000071</v>
      </c>
      <c r="AB54" s="13">
        <f>ABS(Y54-Z54)</f>
        <v>42.900000000000006</v>
      </c>
      <c r="AG54" s="12" t="s">
        <v>4</v>
      </c>
      <c r="AH54">
        <v>12</v>
      </c>
      <c r="AJ54">
        <v>67</v>
      </c>
      <c r="AK54">
        <v>69.7</v>
      </c>
      <c r="AL54">
        <f>ABS(AH54-AI54)</f>
        <v>12</v>
      </c>
      <c r="AM54" s="13">
        <f>ABS(AJ54-AK54)</f>
        <v>2.7000000000000028</v>
      </c>
      <c r="AQ54" s="2"/>
      <c r="AR54" s="12" t="s">
        <v>4</v>
      </c>
      <c r="AS54">
        <v>12</v>
      </c>
      <c r="AT54">
        <v>11.5</v>
      </c>
      <c r="AU54">
        <v>67</v>
      </c>
      <c r="AV54">
        <v>70</v>
      </c>
      <c r="AW54">
        <f>ABS(AS54-AT54)</f>
        <v>0.5</v>
      </c>
      <c r="AX54" s="13">
        <f>ABS(AU54-AV54)</f>
        <v>3</v>
      </c>
    </row>
    <row r="55" spans="2:50" x14ac:dyDescent="0.25">
      <c r="B55" s="6"/>
      <c r="C55" s="7">
        <v>16.5</v>
      </c>
      <c r="D55" s="7">
        <v>16.5</v>
      </c>
      <c r="E55" s="7">
        <v>105</v>
      </c>
      <c r="F55" s="7">
        <v>116.8</v>
      </c>
      <c r="G55" s="7">
        <f>ABS(C55-D55)</f>
        <v>0</v>
      </c>
      <c r="H55" s="8">
        <f>ABS(E55-F55)</f>
        <v>11.799999999999997</v>
      </c>
      <c r="L55" s="6"/>
      <c r="M55" s="7">
        <v>16.5</v>
      </c>
      <c r="N55" s="7">
        <v>16.7</v>
      </c>
      <c r="O55" s="7">
        <v>105</v>
      </c>
      <c r="P55" s="7">
        <v>61</v>
      </c>
      <c r="Q55" s="7">
        <f>ABS(M55-N55)</f>
        <v>0.19999999999999929</v>
      </c>
      <c r="R55" s="8">
        <f>ABS(O55-P55)</f>
        <v>44</v>
      </c>
      <c r="V55" s="6"/>
      <c r="W55" s="7">
        <v>16.5</v>
      </c>
      <c r="X55" s="7">
        <v>16.100000000000001</v>
      </c>
      <c r="Y55" s="7">
        <v>105</v>
      </c>
      <c r="Z55" s="7">
        <v>104</v>
      </c>
      <c r="AA55" s="7">
        <f>ABS(W55-X55)</f>
        <v>0.39999999999999858</v>
      </c>
      <c r="AB55" s="8">
        <f>ABS(Y55-Z55)</f>
        <v>1</v>
      </c>
      <c r="AG55" s="6"/>
      <c r="AH55" s="7">
        <v>16.5</v>
      </c>
      <c r="AI55" s="7"/>
      <c r="AJ55" s="7">
        <v>105</v>
      </c>
      <c r="AK55" s="7">
        <v>90</v>
      </c>
      <c r="AL55" s="7">
        <f>ABS(AH55-AI55)</f>
        <v>16.5</v>
      </c>
      <c r="AM55" s="8">
        <f>ABS(AJ55-AK55)</f>
        <v>15</v>
      </c>
      <c r="AR55" s="6"/>
      <c r="AS55" s="7">
        <v>16.5</v>
      </c>
      <c r="AT55" s="7">
        <v>16.3</v>
      </c>
      <c r="AU55" s="7">
        <v>105</v>
      </c>
      <c r="AV55" s="7">
        <v>93</v>
      </c>
      <c r="AW55" s="7">
        <f>ABS(AS55-AT55)</f>
        <v>0.19999999999999929</v>
      </c>
      <c r="AX55" s="8">
        <f>ABS(AU55-AV55)</f>
        <v>12</v>
      </c>
    </row>
    <row r="56" spans="2:50" x14ac:dyDescent="0.25">
      <c r="B56" s="3" t="s">
        <v>25</v>
      </c>
      <c r="C56" s="4">
        <v>14</v>
      </c>
      <c r="D56" s="4">
        <v>14</v>
      </c>
      <c r="E56" s="4">
        <v>75</v>
      </c>
      <c r="F56" s="4">
        <v>80</v>
      </c>
      <c r="G56" s="4">
        <f>ABS(C56-D56)</f>
        <v>0</v>
      </c>
      <c r="H56" s="5">
        <f t="shared" ref="H56:H73" si="20">ABS(E56-F56)</f>
        <v>5</v>
      </c>
      <c r="L56" s="3" t="s">
        <v>25</v>
      </c>
      <c r="M56" s="4">
        <v>14</v>
      </c>
      <c r="N56" s="4">
        <v>13.2</v>
      </c>
      <c r="O56" s="4">
        <v>75</v>
      </c>
      <c r="P56" s="4">
        <v>50.5</v>
      </c>
      <c r="Q56" s="4">
        <f>ABS(M56-N56)</f>
        <v>0.80000000000000071</v>
      </c>
      <c r="R56" s="5">
        <f t="shared" ref="R56:R73" si="21">ABS(O56-P56)</f>
        <v>24.5</v>
      </c>
      <c r="V56" s="3" t="s">
        <v>25</v>
      </c>
      <c r="W56" s="4">
        <v>14</v>
      </c>
      <c r="X56" s="4">
        <v>11.7</v>
      </c>
      <c r="Y56" s="4">
        <v>75</v>
      </c>
      <c r="Z56" s="4">
        <v>107.3</v>
      </c>
      <c r="AA56" s="4">
        <f>ABS(W56-X56)</f>
        <v>2.3000000000000007</v>
      </c>
      <c r="AB56" s="5">
        <f t="shared" ref="AB56:AB73" si="22">ABS(Y56-Z56)</f>
        <v>32.299999999999997</v>
      </c>
      <c r="AG56" s="3" t="s">
        <v>25</v>
      </c>
      <c r="AH56" s="4">
        <v>14</v>
      </c>
      <c r="AI56" s="4"/>
      <c r="AJ56" s="4">
        <v>75</v>
      </c>
      <c r="AK56" s="4">
        <v>70.3</v>
      </c>
      <c r="AL56" s="4">
        <f>ABS(AH56-AI56)</f>
        <v>14</v>
      </c>
      <c r="AM56" s="5">
        <f t="shared" ref="AM56:AM73" si="23">ABS(AJ56-AK56)</f>
        <v>4.7000000000000028</v>
      </c>
      <c r="AR56" s="3" t="s">
        <v>25</v>
      </c>
      <c r="AS56" s="4">
        <v>14</v>
      </c>
      <c r="AT56" s="4">
        <v>14.5</v>
      </c>
      <c r="AU56" s="4">
        <v>75</v>
      </c>
      <c r="AV56" s="4">
        <v>67.3</v>
      </c>
      <c r="AW56" s="4">
        <f>ABS(AS56-AT56)</f>
        <v>0.5</v>
      </c>
      <c r="AX56" s="5">
        <f t="shared" ref="AX56:AX73" si="24">ABS(AU56-AV56)</f>
        <v>7.7000000000000028</v>
      </c>
    </row>
    <row r="57" spans="2:50" x14ac:dyDescent="0.25">
      <c r="B57" s="6"/>
      <c r="C57" s="7">
        <v>20.5</v>
      </c>
      <c r="D57" s="7">
        <v>20.5</v>
      </c>
      <c r="E57" s="7">
        <v>105</v>
      </c>
      <c r="F57" s="7">
        <v>114</v>
      </c>
      <c r="G57">
        <f>ABS(C57-D57)</f>
        <v>0</v>
      </c>
      <c r="H57" s="13">
        <f t="shared" si="20"/>
        <v>9</v>
      </c>
      <c r="L57" s="6"/>
      <c r="M57" s="7">
        <v>20.5</v>
      </c>
      <c r="N57" s="7">
        <v>21</v>
      </c>
      <c r="O57" s="7">
        <v>105</v>
      </c>
      <c r="P57" s="7">
        <v>48.5</v>
      </c>
      <c r="Q57" s="7">
        <f>ABS(M57-N57)</f>
        <v>0.5</v>
      </c>
      <c r="R57" s="8">
        <f t="shared" si="21"/>
        <v>56.5</v>
      </c>
      <c r="V57" s="6"/>
      <c r="W57" s="7">
        <v>20.5</v>
      </c>
      <c r="X57" s="7">
        <v>20.5</v>
      </c>
      <c r="Y57" s="7">
        <v>105</v>
      </c>
      <c r="Z57" s="7">
        <v>104.3</v>
      </c>
      <c r="AA57" s="7">
        <f>ABS(W57-X57)</f>
        <v>0</v>
      </c>
      <c r="AB57" s="8">
        <f t="shared" si="22"/>
        <v>0.70000000000000284</v>
      </c>
      <c r="AG57" s="6"/>
      <c r="AH57" s="7">
        <v>20.5</v>
      </c>
      <c r="AI57" s="7"/>
      <c r="AJ57" s="7">
        <v>105</v>
      </c>
      <c r="AK57" s="7">
        <v>157</v>
      </c>
      <c r="AL57" s="7">
        <f>ABS(AH57-AI57)</f>
        <v>20.5</v>
      </c>
      <c r="AM57" s="8">
        <f t="shared" si="23"/>
        <v>52</v>
      </c>
      <c r="AR57" s="6"/>
      <c r="AS57" s="7">
        <v>20.5</v>
      </c>
      <c r="AT57" s="7">
        <v>20.3</v>
      </c>
      <c r="AU57" s="7">
        <v>105</v>
      </c>
      <c r="AV57" s="7">
        <v>113</v>
      </c>
      <c r="AW57" s="7">
        <f>ABS(AS57-AT57)</f>
        <v>0.19999999999999929</v>
      </c>
      <c r="AX57" s="8">
        <f t="shared" si="24"/>
        <v>8</v>
      </c>
    </row>
    <row r="58" spans="2:50" x14ac:dyDescent="0.25">
      <c r="B58" s="3" t="s">
        <v>42</v>
      </c>
      <c r="C58" s="4">
        <v>8.4</v>
      </c>
      <c r="D58" s="4">
        <v>7.7</v>
      </c>
      <c r="E58" s="4">
        <v>65</v>
      </c>
      <c r="F58" s="4">
        <v>77.2</v>
      </c>
      <c r="G58" s="4">
        <f t="shared" ref="G58:G73" si="25">ABS(C58-D58)</f>
        <v>0.70000000000000018</v>
      </c>
      <c r="H58" s="5">
        <f t="shared" si="20"/>
        <v>12.200000000000003</v>
      </c>
      <c r="L58" s="3" t="s">
        <v>42</v>
      </c>
      <c r="M58" s="4">
        <v>8.4</v>
      </c>
      <c r="N58" s="4">
        <v>9.1</v>
      </c>
      <c r="O58" s="4">
        <v>65</v>
      </c>
      <c r="P58" s="4">
        <v>67.599999999999994</v>
      </c>
      <c r="Q58" s="4">
        <f t="shared" ref="Q58:Q73" si="26">ABS(M58-N58)</f>
        <v>0.69999999999999929</v>
      </c>
      <c r="R58" s="5">
        <f t="shared" si="21"/>
        <v>2.5999999999999943</v>
      </c>
      <c r="V58" s="3" t="s">
        <v>42</v>
      </c>
      <c r="W58" s="4">
        <v>8.4</v>
      </c>
      <c r="X58" s="4">
        <v>8.1999999999999993</v>
      </c>
      <c r="Y58" s="4">
        <v>65</v>
      </c>
      <c r="Z58" s="4">
        <v>82.3</v>
      </c>
      <c r="AA58" s="4">
        <f t="shared" ref="AA58:AA73" si="27">ABS(W58-X58)</f>
        <v>0.20000000000000107</v>
      </c>
      <c r="AB58" s="5">
        <f t="shared" si="22"/>
        <v>17.299999999999997</v>
      </c>
      <c r="AG58" s="3" t="s">
        <v>42</v>
      </c>
      <c r="AH58" s="4">
        <v>8.4</v>
      </c>
      <c r="AI58" s="4"/>
      <c r="AJ58" s="4">
        <v>65</v>
      </c>
      <c r="AK58" s="4">
        <v>250</v>
      </c>
      <c r="AL58" s="4">
        <f t="shared" ref="AL58:AL73" si="28">ABS(AH58-AI58)</f>
        <v>8.4</v>
      </c>
      <c r="AM58" s="5">
        <f t="shared" si="23"/>
        <v>185</v>
      </c>
      <c r="AR58" s="3" t="s">
        <v>42</v>
      </c>
      <c r="AS58" s="4">
        <v>8.4</v>
      </c>
      <c r="AT58" s="4">
        <v>7.8</v>
      </c>
      <c r="AU58" s="4">
        <v>65</v>
      </c>
      <c r="AV58" s="4">
        <v>70.5</v>
      </c>
      <c r="AW58" s="4">
        <f t="shared" ref="AW58:AW73" si="29">ABS(AS58-AT58)</f>
        <v>0.60000000000000053</v>
      </c>
      <c r="AX58" s="5">
        <f t="shared" si="24"/>
        <v>5.5</v>
      </c>
    </row>
    <row r="59" spans="2:50" x14ac:dyDescent="0.25">
      <c r="B59" s="6"/>
      <c r="C59" s="7">
        <v>8</v>
      </c>
      <c r="D59" s="7">
        <v>8</v>
      </c>
      <c r="E59" s="7">
        <v>94</v>
      </c>
      <c r="F59" s="7">
        <v>81.7</v>
      </c>
      <c r="G59" s="7">
        <f t="shared" si="25"/>
        <v>0</v>
      </c>
      <c r="H59" s="8">
        <f t="shared" si="20"/>
        <v>12.299999999999997</v>
      </c>
      <c r="L59" s="6"/>
      <c r="M59" s="7">
        <v>8</v>
      </c>
      <c r="N59" s="7">
        <v>9</v>
      </c>
      <c r="O59" s="7">
        <v>94</v>
      </c>
      <c r="P59" s="7">
        <v>101.2</v>
      </c>
      <c r="Q59" s="7">
        <f t="shared" si="26"/>
        <v>1</v>
      </c>
      <c r="R59" s="8">
        <f t="shared" si="21"/>
        <v>7.2000000000000028</v>
      </c>
      <c r="V59" s="6"/>
      <c r="W59" s="7">
        <v>8</v>
      </c>
      <c r="X59" s="7">
        <v>7</v>
      </c>
      <c r="Y59" s="7">
        <v>94</v>
      </c>
      <c r="Z59" s="7">
        <v>97.9</v>
      </c>
      <c r="AA59" s="7">
        <f t="shared" si="27"/>
        <v>1</v>
      </c>
      <c r="AB59" s="8">
        <f t="shared" si="22"/>
        <v>3.9000000000000057</v>
      </c>
      <c r="AG59" s="6"/>
      <c r="AH59" s="7">
        <v>8</v>
      </c>
      <c r="AI59" s="7"/>
      <c r="AJ59" s="7">
        <v>94</v>
      </c>
      <c r="AK59" s="7">
        <v>117.3</v>
      </c>
      <c r="AL59" s="7">
        <f t="shared" si="28"/>
        <v>8</v>
      </c>
      <c r="AM59" s="8">
        <f t="shared" si="23"/>
        <v>23.299999999999997</v>
      </c>
      <c r="AR59" s="6"/>
      <c r="AS59" s="7">
        <v>8</v>
      </c>
      <c r="AT59" s="7">
        <v>8</v>
      </c>
      <c r="AU59" s="7">
        <v>94</v>
      </c>
      <c r="AV59" s="7">
        <v>75.2</v>
      </c>
      <c r="AW59" s="7">
        <f t="shared" si="29"/>
        <v>0</v>
      </c>
      <c r="AX59" s="8">
        <f t="shared" si="24"/>
        <v>18.799999999999997</v>
      </c>
    </row>
    <row r="60" spans="2:50" x14ac:dyDescent="0.25">
      <c r="B60" s="3" t="s">
        <v>43</v>
      </c>
      <c r="C60" s="4">
        <v>8</v>
      </c>
      <c r="D60" s="4">
        <v>7.2</v>
      </c>
      <c r="E60" s="4">
        <v>64</v>
      </c>
      <c r="F60" s="4">
        <v>69.3</v>
      </c>
      <c r="G60" s="4">
        <f t="shared" si="25"/>
        <v>0.79999999999999982</v>
      </c>
      <c r="H60" s="5">
        <f t="shared" si="20"/>
        <v>5.2999999999999972</v>
      </c>
      <c r="L60" s="3" t="s">
        <v>43</v>
      </c>
      <c r="M60" s="4">
        <v>8</v>
      </c>
      <c r="N60" s="4">
        <v>7</v>
      </c>
      <c r="O60" s="4">
        <v>64</v>
      </c>
      <c r="P60" s="4">
        <v>63.2</v>
      </c>
      <c r="Q60" s="4">
        <f t="shared" si="26"/>
        <v>1</v>
      </c>
      <c r="R60" s="5">
        <f t="shared" si="21"/>
        <v>0.79999999999999716</v>
      </c>
      <c r="V60" s="3" t="s">
        <v>43</v>
      </c>
      <c r="W60" s="4">
        <v>8</v>
      </c>
      <c r="X60" s="4">
        <v>7</v>
      </c>
      <c r="Y60" s="4">
        <v>64</v>
      </c>
      <c r="Z60" s="4">
        <v>85.5</v>
      </c>
      <c r="AA60" s="4">
        <f t="shared" si="27"/>
        <v>1</v>
      </c>
      <c r="AB60" s="5">
        <f t="shared" si="22"/>
        <v>21.5</v>
      </c>
      <c r="AG60" s="3" t="s">
        <v>43</v>
      </c>
      <c r="AH60" s="4">
        <v>8</v>
      </c>
      <c r="AI60" s="4"/>
      <c r="AJ60" s="4">
        <v>64</v>
      </c>
      <c r="AK60" s="4">
        <v>78</v>
      </c>
      <c r="AL60" s="4">
        <f t="shared" si="28"/>
        <v>8</v>
      </c>
      <c r="AM60" s="5">
        <f t="shared" si="23"/>
        <v>14</v>
      </c>
      <c r="AR60" s="3" t="s">
        <v>43</v>
      </c>
      <c r="AS60" s="4">
        <v>8</v>
      </c>
      <c r="AT60" s="4">
        <v>7.2</v>
      </c>
      <c r="AU60" s="4">
        <v>64</v>
      </c>
      <c r="AV60" s="4">
        <v>65.3</v>
      </c>
      <c r="AW60" s="4">
        <f t="shared" si="29"/>
        <v>0.79999999999999982</v>
      </c>
      <c r="AX60" s="5">
        <f t="shared" si="24"/>
        <v>1.2999999999999972</v>
      </c>
    </row>
    <row r="61" spans="2:50" x14ac:dyDescent="0.25">
      <c r="B61" s="6"/>
      <c r="C61" s="7">
        <v>8</v>
      </c>
      <c r="D61">
        <v>7.5</v>
      </c>
      <c r="E61" s="7">
        <v>87</v>
      </c>
      <c r="F61" s="7">
        <v>76.599999999999994</v>
      </c>
      <c r="G61" s="7">
        <f t="shared" si="25"/>
        <v>0.5</v>
      </c>
      <c r="H61" s="8">
        <f t="shared" si="20"/>
        <v>10.400000000000006</v>
      </c>
      <c r="L61" s="6"/>
      <c r="M61" s="7">
        <v>8</v>
      </c>
      <c r="N61" s="7">
        <v>9.5</v>
      </c>
      <c r="O61" s="7">
        <v>87</v>
      </c>
      <c r="P61" s="7">
        <v>94.8</v>
      </c>
      <c r="Q61" s="7">
        <f t="shared" si="26"/>
        <v>1.5</v>
      </c>
      <c r="R61" s="8">
        <f t="shared" si="21"/>
        <v>7.7999999999999972</v>
      </c>
      <c r="V61" s="6"/>
      <c r="W61" s="7">
        <v>8</v>
      </c>
      <c r="X61" s="7">
        <v>7.9</v>
      </c>
      <c r="Y61" s="7">
        <v>87</v>
      </c>
      <c r="Z61" s="7">
        <v>82.6</v>
      </c>
      <c r="AA61" s="7">
        <f t="shared" si="27"/>
        <v>9.9999999999999645E-2</v>
      </c>
      <c r="AB61" s="8">
        <f t="shared" si="22"/>
        <v>4.4000000000000057</v>
      </c>
      <c r="AG61" s="6"/>
      <c r="AH61" s="7">
        <v>8</v>
      </c>
      <c r="AI61" s="7"/>
      <c r="AJ61" s="7">
        <v>87</v>
      </c>
      <c r="AK61" s="7">
        <v>117</v>
      </c>
      <c r="AL61" s="7">
        <f t="shared" si="28"/>
        <v>8</v>
      </c>
      <c r="AM61" s="8">
        <f t="shared" si="23"/>
        <v>30</v>
      </c>
      <c r="AR61" s="6"/>
      <c r="AS61" s="7">
        <v>8</v>
      </c>
      <c r="AT61" s="7">
        <v>9</v>
      </c>
      <c r="AU61" s="7">
        <v>87</v>
      </c>
      <c r="AV61" s="7">
        <v>84.9</v>
      </c>
      <c r="AW61" s="7">
        <f t="shared" si="29"/>
        <v>1</v>
      </c>
      <c r="AX61" s="8">
        <f t="shared" si="24"/>
        <v>2.0999999999999943</v>
      </c>
    </row>
    <row r="62" spans="2:50" x14ac:dyDescent="0.25">
      <c r="B62" s="3" t="s">
        <v>44</v>
      </c>
      <c r="C62" s="4">
        <v>7.6</v>
      </c>
      <c r="D62" s="4">
        <v>6.5</v>
      </c>
      <c r="E62" s="4">
        <v>65</v>
      </c>
      <c r="F62" s="4">
        <v>78.2</v>
      </c>
      <c r="G62" s="4">
        <f t="shared" si="25"/>
        <v>1.0999999999999996</v>
      </c>
      <c r="H62" s="5">
        <f t="shared" si="20"/>
        <v>13.200000000000003</v>
      </c>
      <c r="L62" s="3" t="s">
        <v>44</v>
      </c>
      <c r="M62" s="4">
        <v>7.6</v>
      </c>
      <c r="N62" s="4">
        <v>6.9</v>
      </c>
      <c r="O62" s="4">
        <v>65</v>
      </c>
      <c r="P62" s="4">
        <v>110</v>
      </c>
      <c r="Q62" s="4">
        <f t="shared" si="26"/>
        <v>0.69999999999999929</v>
      </c>
      <c r="R62" s="5">
        <f t="shared" si="21"/>
        <v>45</v>
      </c>
      <c r="V62" s="3" t="s">
        <v>44</v>
      </c>
      <c r="W62" s="4">
        <v>7.6</v>
      </c>
      <c r="X62" s="4">
        <v>7</v>
      </c>
      <c r="Y62" s="4">
        <v>65</v>
      </c>
      <c r="Z62" s="4">
        <v>90.8</v>
      </c>
      <c r="AA62" s="4">
        <f t="shared" si="27"/>
        <v>0.59999999999999964</v>
      </c>
      <c r="AB62" s="5">
        <f t="shared" si="22"/>
        <v>25.799999999999997</v>
      </c>
      <c r="AG62" s="3" t="s">
        <v>44</v>
      </c>
      <c r="AH62" s="4">
        <v>7.6</v>
      </c>
      <c r="AI62" s="4"/>
      <c r="AJ62" s="4">
        <v>65</v>
      </c>
      <c r="AK62" s="4">
        <v>169.3</v>
      </c>
      <c r="AL62" s="4">
        <f t="shared" si="28"/>
        <v>7.6</v>
      </c>
      <c r="AM62" s="5">
        <f t="shared" si="23"/>
        <v>104.30000000000001</v>
      </c>
      <c r="AR62" s="3" t="s">
        <v>44</v>
      </c>
      <c r="AS62" s="4">
        <v>7.6</v>
      </c>
      <c r="AT62" s="4">
        <v>6.4</v>
      </c>
      <c r="AU62" s="4">
        <v>65</v>
      </c>
      <c r="AV62" s="4">
        <v>91.1</v>
      </c>
      <c r="AW62" s="4">
        <f t="shared" si="29"/>
        <v>1.1999999999999993</v>
      </c>
      <c r="AX62" s="5">
        <f t="shared" si="24"/>
        <v>26.099999999999994</v>
      </c>
    </row>
    <row r="63" spans="2:50" x14ac:dyDescent="0.25">
      <c r="B63" s="6"/>
      <c r="C63" s="7">
        <v>10</v>
      </c>
      <c r="D63" s="7">
        <v>10.7</v>
      </c>
      <c r="E63" s="7">
        <v>89</v>
      </c>
      <c r="F63" s="7">
        <v>77.3</v>
      </c>
      <c r="G63" s="7">
        <f t="shared" si="25"/>
        <v>0.69999999999999929</v>
      </c>
      <c r="H63" s="8">
        <f t="shared" si="20"/>
        <v>11.700000000000003</v>
      </c>
      <c r="L63" s="6"/>
      <c r="M63" s="7">
        <v>10</v>
      </c>
      <c r="N63" s="7">
        <v>10</v>
      </c>
      <c r="O63" s="7">
        <v>89</v>
      </c>
      <c r="P63" s="7">
        <v>65.2</v>
      </c>
      <c r="Q63" s="7">
        <f>ABS(M63-N63)</f>
        <v>0</v>
      </c>
      <c r="R63" s="8">
        <f t="shared" si="21"/>
        <v>23.799999999999997</v>
      </c>
      <c r="V63" s="6"/>
      <c r="W63" s="7">
        <v>10</v>
      </c>
      <c r="X63" s="7">
        <v>10.5</v>
      </c>
      <c r="Y63" s="7">
        <v>89</v>
      </c>
      <c r="Z63" s="7">
        <v>88.2</v>
      </c>
      <c r="AA63" s="7">
        <f t="shared" si="27"/>
        <v>0.5</v>
      </c>
      <c r="AB63" s="8">
        <f t="shared" si="22"/>
        <v>0.79999999999999716</v>
      </c>
      <c r="AG63" s="6"/>
      <c r="AH63" s="7">
        <v>10</v>
      </c>
      <c r="AI63" s="7"/>
      <c r="AJ63" s="7">
        <v>89</v>
      </c>
      <c r="AK63" s="7">
        <v>126.5</v>
      </c>
      <c r="AL63" s="7">
        <f t="shared" si="28"/>
        <v>10</v>
      </c>
      <c r="AM63" s="8">
        <f t="shared" si="23"/>
        <v>37.5</v>
      </c>
      <c r="AR63" s="6"/>
      <c r="AS63" s="7">
        <v>10</v>
      </c>
      <c r="AT63" s="7">
        <v>10.8</v>
      </c>
      <c r="AU63" s="7">
        <v>89</v>
      </c>
      <c r="AV63" s="7">
        <v>76.2</v>
      </c>
      <c r="AW63" s="7">
        <f t="shared" si="29"/>
        <v>0.80000000000000071</v>
      </c>
      <c r="AX63" s="8">
        <f t="shared" si="24"/>
        <v>12.799999999999997</v>
      </c>
    </row>
    <row r="64" spans="2:50" x14ac:dyDescent="0.25">
      <c r="B64" s="3" t="s">
        <v>45</v>
      </c>
      <c r="C64" s="4">
        <v>7.6</v>
      </c>
      <c r="D64" s="4">
        <v>7.3</v>
      </c>
      <c r="E64" s="4">
        <v>66</v>
      </c>
      <c r="F64" s="4">
        <v>75</v>
      </c>
      <c r="G64" s="4">
        <f t="shared" si="25"/>
        <v>0.29999999999999982</v>
      </c>
      <c r="H64" s="5">
        <f t="shared" si="20"/>
        <v>9</v>
      </c>
      <c r="L64" s="3" t="s">
        <v>45</v>
      </c>
      <c r="M64" s="4">
        <v>7.6</v>
      </c>
      <c r="N64" s="4">
        <v>9.4</v>
      </c>
      <c r="O64" s="4">
        <v>66</v>
      </c>
      <c r="P64" s="4">
        <v>62</v>
      </c>
      <c r="Q64" s="4">
        <f>ABS(M64-N64)</f>
        <v>1.8000000000000007</v>
      </c>
      <c r="R64" s="5">
        <f t="shared" si="21"/>
        <v>4</v>
      </c>
      <c r="V64" s="3" t="s">
        <v>45</v>
      </c>
      <c r="W64" s="4">
        <v>7.6</v>
      </c>
      <c r="X64" s="4">
        <v>7</v>
      </c>
      <c r="Y64" s="4">
        <v>66</v>
      </c>
      <c r="Z64" s="4">
        <v>83.8</v>
      </c>
      <c r="AA64" s="4">
        <f t="shared" si="27"/>
        <v>0.59999999999999964</v>
      </c>
      <c r="AB64" s="5">
        <f t="shared" si="22"/>
        <v>17.799999999999997</v>
      </c>
      <c r="AG64" s="3" t="s">
        <v>45</v>
      </c>
      <c r="AH64" s="4">
        <v>7.6</v>
      </c>
      <c r="AI64" s="4"/>
      <c r="AJ64" s="4">
        <v>66</v>
      </c>
      <c r="AK64" s="4">
        <v>64</v>
      </c>
      <c r="AL64" s="4">
        <f t="shared" si="28"/>
        <v>7.6</v>
      </c>
      <c r="AM64" s="5">
        <f t="shared" si="23"/>
        <v>2</v>
      </c>
      <c r="AR64" s="3" t="s">
        <v>45</v>
      </c>
      <c r="AS64" s="4">
        <v>7.6</v>
      </c>
      <c r="AT64" s="4">
        <v>7.7</v>
      </c>
      <c r="AU64" s="4">
        <v>66</v>
      </c>
      <c r="AV64" s="4">
        <v>68.7</v>
      </c>
      <c r="AW64" s="4">
        <f t="shared" si="29"/>
        <v>0.10000000000000053</v>
      </c>
      <c r="AX64" s="5">
        <f t="shared" si="24"/>
        <v>2.7000000000000028</v>
      </c>
    </row>
    <row r="65" spans="2:50" x14ac:dyDescent="0.25">
      <c r="B65" s="6"/>
      <c r="C65" s="7">
        <v>11.6</v>
      </c>
      <c r="D65" s="7">
        <v>13.2</v>
      </c>
      <c r="E65" s="7">
        <v>87</v>
      </c>
      <c r="F65" s="7">
        <v>79.2</v>
      </c>
      <c r="G65" s="7">
        <f t="shared" si="25"/>
        <v>1.5999999999999996</v>
      </c>
      <c r="H65" s="8">
        <f t="shared" si="20"/>
        <v>7.7999999999999972</v>
      </c>
      <c r="L65" s="6"/>
      <c r="M65" s="7">
        <v>11.6</v>
      </c>
      <c r="N65" s="7">
        <v>13.6</v>
      </c>
      <c r="O65" s="7">
        <v>87</v>
      </c>
      <c r="P65" s="7">
        <v>84</v>
      </c>
      <c r="Q65">
        <f t="shared" si="26"/>
        <v>2</v>
      </c>
      <c r="R65" s="13">
        <f t="shared" si="21"/>
        <v>3</v>
      </c>
      <c r="V65" s="6"/>
      <c r="W65" s="7">
        <v>11.6</v>
      </c>
      <c r="X65" s="7">
        <v>14.4</v>
      </c>
      <c r="Y65" s="7">
        <v>87</v>
      </c>
      <c r="Z65" s="7">
        <v>90.8</v>
      </c>
      <c r="AA65" s="7">
        <f t="shared" si="27"/>
        <v>2.8000000000000007</v>
      </c>
      <c r="AB65" s="8">
        <f t="shared" si="22"/>
        <v>3.7999999999999972</v>
      </c>
      <c r="AG65" s="6"/>
      <c r="AH65" s="7">
        <v>11.6</v>
      </c>
      <c r="AI65" s="7"/>
      <c r="AJ65" s="7">
        <v>87</v>
      </c>
      <c r="AK65" s="7">
        <v>133</v>
      </c>
      <c r="AL65">
        <f t="shared" si="28"/>
        <v>11.6</v>
      </c>
      <c r="AM65" s="13">
        <f t="shared" si="23"/>
        <v>46</v>
      </c>
      <c r="AR65" s="6"/>
      <c r="AS65" s="7">
        <v>11.6</v>
      </c>
      <c r="AT65" s="7">
        <v>14.4</v>
      </c>
      <c r="AU65" s="7">
        <v>87</v>
      </c>
      <c r="AV65" s="7">
        <v>102.9</v>
      </c>
      <c r="AW65">
        <f t="shared" si="29"/>
        <v>2.8000000000000007</v>
      </c>
      <c r="AX65" s="13">
        <f t="shared" si="24"/>
        <v>15.900000000000006</v>
      </c>
    </row>
    <row r="66" spans="2:50" x14ac:dyDescent="0.25">
      <c r="B66" s="3" t="s">
        <v>56</v>
      </c>
      <c r="C66" s="4">
        <v>8</v>
      </c>
      <c r="D66" s="4">
        <v>8.6</v>
      </c>
      <c r="E66" s="4">
        <v>76</v>
      </c>
      <c r="F66" s="4">
        <v>70.599999999999994</v>
      </c>
      <c r="G66" s="4">
        <f t="shared" si="25"/>
        <v>0.59999999999999964</v>
      </c>
      <c r="H66" s="5">
        <f t="shared" si="20"/>
        <v>5.4000000000000057</v>
      </c>
      <c r="L66" s="3" t="s">
        <v>56</v>
      </c>
      <c r="M66" s="4">
        <v>8</v>
      </c>
      <c r="N66" s="4">
        <v>9.5</v>
      </c>
      <c r="O66" s="4">
        <v>76</v>
      </c>
      <c r="P66" s="4">
        <v>48.4</v>
      </c>
      <c r="Q66" s="4">
        <f t="shared" si="26"/>
        <v>1.5</v>
      </c>
      <c r="R66" s="5">
        <f t="shared" si="21"/>
        <v>27.6</v>
      </c>
      <c r="V66" s="3" t="s">
        <v>56</v>
      </c>
      <c r="W66" s="4">
        <v>8</v>
      </c>
      <c r="X66" s="4">
        <v>9.4</v>
      </c>
      <c r="Y66" s="4">
        <v>76</v>
      </c>
      <c r="Z66" s="4">
        <v>81.2</v>
      </c>
      <c r="AA66" s="4">
        <f t="shared" si="27"/>
        <v>1.4000000000000004</v>
      </c>
      <c r="AB66" s="5">
        <f t="shared" si="22"/>
        <v>5.2000000000000028</v>
      </c>
      <c r="AG66" s="3" t="s">
        <v>56</v>
      </c>
      <c r="AH66" s="4">
        <v>8</v>
      </c>
      <c r="AI66" s="4"/>
      <c r="AJ66" s="4">
        <v>76</v>
      </c>
      <c r="AK66" s="4">
        <v>107.3</v>
      </c>
      <c r="AL66" s="4">
        <f t="shared" si="28"/>
        <v>8</v>
      </c>
      <c r="AM66" s="5">
        <f t="shared" si="23"/>
        <v>31.299999999999997</v>
      </c>
      <c r="AR66" s="3" t="s">
        <v>56</v>
      </c>
      <c r="AS66" s="4">
        <v>8</v>
      </c>
      <c r="AT66" s="4">
        <v>8.8000000000000007</v>
      </c>
      <c r="AU66" s="4">
        <v>76</v>
      </c>
      <c r="AV66" s="4">
        <v>67.099999999999994</v>
      </c>
      <c r="AW66" s="4">
        <f t="shared" si="29"/>
        <v>0.80000000000000071</v>
      </c>
      <c r="AX66" s="5">
        <f t="shared" si="24"/>
        <v>8.9000000000000057</v>
      </c>
    </row>
    <row r="67" spans="2:50" x14ac:dyDescent="0.25">
      <c r="B67" s="6"/>
      <c r="C67" s="7">
        <v>11.6</v>
      </c>
      <c r="D67" s="7">
        <v>9.9</v>
      </c>
      <c r="E67" s="7">
        <v>101</v>
      </c>
      <c r="F67" s="7">
        <v>78.599999999999994</v>
      </c>
      <c r="G67" s="7">
        <f t="shared" si="25"/>
        <v>1.6999999999999993</v>
      </c>
      <c r="H67" s="8">
        <f t="shared" si="20"/>
        <v>22.400000000000006</v>
      </c>
      <c r="L67" s="6"/>
      <c r="M67" s="7">
        <v>11.6</v>
      </c>
      <c r="N67" s="7">
        <v>10</v>
      </c>
      <c r="O67" s="7">
        <v>101</v>
      </c>
      <c r="P67" s="7">
        <v>87.2</v>
      </c>
      <c r="Q67" s="7">
        <f t="shared" si="26"/>
        <v>1.5999999999999996</v>
      </c>
      <c r="R67" s="8">
        <f t="shared" si="21"/>
        <v>13.799999999999997</v>
      </c>
      <c r="V67" s="6"/>
      <c r="W67" s="7">
        <v>11.6</v>
      </c>
      <c r="X67" s="7">
        <v>7</v>
      </c>
      <c r="Y67" s="7">
        <v>101</v>
      </c>
      <c r="Z67" s="7">
        <v>95.8</v>
      </c>
      <c r="AA67" s="7">
        <f t="shared" si="27"/>
        <v>4.5999999999999996</v>
      </c>
      <c r="AB67" s="8">
        <f t="shared" si="22"/>
        <v>5.2000000000000028</v>
      </c>
      <c r="AG67" s="6"/>
      <c r="AH67" s="7">
        <v>11.6</v>
      </c>
      <c r="AI67" s="7"/>
      <c r="AJ67" s="7">
        <v>101</v>
      </c>
      <c r="AK67" s="7">
        <v>129</v>
      </c>
      <c r="AL67" s="7">
        <f t="shared" si="28"/>
        <v>11.6</v>
      </c>
      <c r="AM67" s="8">
        <f t="shared" si="23"/>
        <v>28</v>
      </c>
      <c r="AR67" s="6"/>
      <c r="AS67" s="7">
        <v>11.6</v>
      </c>
      <c r="AT67" s="7">
        <v>7.8</v>
      </c>
      <c r="AU67" s="7">
        <v>101</v>
      </c>
      <c r="AV67" s="7">
        <v>92.2</v>
      </c>
      <c r="AW67" s="7">
        <f t="shared" si="29"/>
        <v>3.8</v>
      </c>
      <c r="AX67" s="8">
        <f t="shared" si="24"/>
        <v>8.7999999999999972</v>
      </c>
    </row>
    <row r="68" spans="2:50" x14ac:dyDescent="0.25">
      <c r="B68" s="3" t="s">
        <v>57</v>
      </c>
      <c r="C68" s="4">
        <v>8.4</v>
      </c>
      <c r="D68" s="4">
        <v>9.1999999999999993</v>
      </c>
      <c r="E68" s="4">
        <v>73</v>
      </c>
      <c r="F68" s="4">
        <v>73.3</v>
      </c>
      <c r="G68" s="4">
        <f t="shared" si="25"/>
        <v>0.79999999999999893</v>
      </c>
      <c r="H68" s="5">
        <f t="shared" si="20"/>
        <v>0.29999999999999716</v>
      </c>
      <c r="L68" s="3" t="s">
        <v>57</v>
      </c>
      <c r="M68" s="4">
        <v>8.4</v>
      </c>
      <c r="N68" s="4">
        <v>9.9</v>
      </c>
      <c r="O68" s="4">
        <v>73</v>
      </c>
      <c r="P68" s="4">
        <v>48.4</v>
      </c>
      <c r="Q68" s="4">
        <f t="shared" si="26"/>
        <v>1.5</v>
      </c>
      <c r="R68" s="5">
        <f t="shared" si="21"/>
        <v>24.6</v>
      </c>
      <c r="V68" s="3" t="s">
        <v>57</v>
      </c>
      <c r="W68" s="4">
        <v>8.4</v>
      </c>
      <c r="X68" s="4">
        <v>8.8000000000000007</v>
      </c>
      <c r="Y68" s="4">
        <v>73</v>
      </c>
      <c r="Z68" s="4">
        <v>93.2</v>
      </c>
      <c r="AA68" s="4">
        <f t="shared" si="27"/>
        <v>0.40000000000000036</v>
      </c>
      <c r="AB68" s="5">
        <f t="shared" si="22"/>
        <v>20.200000000000003</v>
      </c>
      <c r="AG68" s="3" t="s">
        <v>57</v>
      </c>
      <c r="AH68" s="4">
        <v>8.4</v>
      </c>
      <c r="AI68" s="4"/>
      <c r="AJ68" s="4">
        <v>73</v>
      </c>
      <c r="AK68" s="4">
        <v>220</v>
      </c>
      <c r="AL68" s="4">
        <f t="shared" si="28"/>
        <v>8.4</v>
      </c>
      <c r="AM68" s="5">
        <f t="shared" si="23"/>
        <v>147</v>
      </c>
      <c r="AR68" s="3" t="s">
        <v>57</v>
      </c>
      <c r="AS68" s="4">
        <v>8.4</v>
      </c>
      <c r="AT68" s="4">
        <v>9.8000000000000007</v>
      </c>
      <c r="AU68" s="4">
        <v>73</v>
      </c>
      <c r="AV68" s="4">
        <v>53.8</v>
      </c>
      <c r="AW68" s="4">
        <f t="shared" si="29"/>
        <v>1.4000000000000004</v>
      </c>
      <c r="AX68" s="5">
        <f t="shared" si="24"/>
        <v>19.200000000000003</v>
      </c>
    </row>
    <row r="69" spans="2:50" x14ac:dyDescent="0.25">
      <c r="B69" s="6"/>
      <c r="C69" s="7">
        <v>12</v>
      </c>
      <c r="D69" s="7">
        <v>14</v>
      </c>
      <c r="E69" s="7">
        <v>100</v>
      </c>
      <c r="F69" s="7">
        <v>72</v>
      </c>
      <c r="G69" s="7">
        <f t="shared" si="25"/>
        <v>2</v>
      </c>
      <c r="H69" s="8">
        <f t="shared" si="20"/>
        <v>28</v>
      </c>
      <c r="L69" s="6"/>
      <c r="M69" s="7">
        <v>12</v>
      </c>
      <c r="N69" s="7">
        <v>14.6</v>
      </c>
      <c r="O69" s="7">
        <v>100</v>
      </c>
      <c r="P69" s="7">
        <v>95.6</v>
      </c>
      <c r="Q69" s="7">
        <f t="shared" si="26"/>
        <v>2.5999999999999996</v>
      </c>
      <c r="R69" s="8">
        <f t="shared" si="21"/>
        <v>4.4000000000000057</v>
      </c>
      <c r="V69" s="6"/>
      <c r="W69" s="7">
        <v>12</v>
      </c>
      <c r="X69" s="7">
        <v>11.4</v>
      </c>
      <c r="Y69" s="7">
        <v>100</v>
      </c>
      <c r="Z69" s="7">
        <v>80</v>
      </c>
      <c r="AA69" s="7">
        <f t="shared" si="27"/>
        <v>0.59999999999999964</v>
      </c>
      <c r="AB69" s="8">
        <f t="shared" si="22"/>
        <v>20</v>
      </c>
      <c r="AG69" s="6"/>
      <c r="AH69" s="7">
        <v>12</v>
      </c>
      <c r="AI69" s="7"/>
      <c r="AJ69" s="7">
        <v>100</v>
      </c>
      <c r="AK69" s="7">
        <v>88.8</v>
      </c>
      <c r="AL69" s="7">
        <f t="shared" si="28"/>
        <v>12</v>
      </c>
      <c r="AM69" s="8">
        <f t="shared" si="23"/>
        <v>11.200000000000003</v>
      </c>
      <c r="AR69" s="6"/>
      <c r="AS69" s="7">
        <v>12</v>
      </c>
      <c r="AT69" s="7">
        <v>12.8</v>
      </c>
      <c r="AU69" s="7">
        <v>100</v>
      </c>
      <c r="AV69" s="7">
        <v>69</v>
      </c>
      <c r="AW69" s="7">
        <f t="shared" si="29"/>
        <v>0.80000000000000071</v>
      </c>
      <c r="AX69" s="8">
        <f t="shared" si="24"/>
        <v>31</v>
      </c>
    </row>
    <row r="70" spans="2:50" x14ac:dyDescent="0.25">
      <c r="B70" s="3" t="s">
        <v>58</v>
      </c>
      <c r="C70" s="4">
        <v>8.8000000000000007</v>
      </c>
      <c r="D70" s="4">
        <v>8.5</v>
      </c>
      <c r="E70" s="4">
        <v>68</v>
      </c>
      <c r="F70" s="4">
        <v>72.3</v>
      </c>
      <c r="G70" s="4">
        <f t="shared" si="25"/>
        <v>0.30000000000000071</v>
      </c>
      <c r="H70" s="5">
        <f t="shared" si="20"/>
        <v>4.2999999999999972</v>
      </c>
      <c r="L70" s="3" t="s">
        <v>58</v>
      </c>
      <c r="M70" s="4">
        <v>8.8000000000000007</v>
      </c>
      <c r="N70" s="4">
        <v>9.3000000000000007</v>
      </c>
      <c r="O70" s="4">
        <v>68</v>
      </c>
      <c r="P70" s="4">
        <v>89.6</v>
      </c>
      <c r="Q70" s="4">
        <f t="shared" si="26"/>
        <v>0.5</v>
      </c>
      <c r="R70" s="5">
        <f t="shared" si="21"/>
        <v>21.599999999999994</v>
      </c>
      <c r="V70" s="3" t="s">
        <v>58</v>
      </c>
      <c r="W70" s="4">
        <v>8.8000000000000007</v>
      </c>
      <c r="X70" s="4">
        <v>8.1999999999999993</v>
      </c>
      <c r="Y70" s="4">
        <v>68</v>
      </c>
      <c r="Z70" s="4">
        <v>91.7</v>
      </c>
      <c r="AA70" s="4">
        <f t="shared" si="27"/>
        <v>0.60000000000000142</v>
      </c>
      <c r="AB70" s="5">
        <f t="shared" si="22"/>
        <v>23.700000000000003</v>
      </c>
      <c r="AG70" s="3" t="s">
        <v>58</v>
      </c>
      <c r="AH70" s="4">
        <v>8.8000000000000007</v>
      </c>
      <c r="AI70" s="4"/>
      <c r="AJ70" s="4">
        <v>68</v>
      </c>
      <c r="AK70" s="4">
        <v>95.5</v>
      </c>
      <c r="AL70" s="4">
        <f t="shared" si="28"/>
        <v>8.8000000000000007</v>
      </c>
      <c r="AM70" s="5">
        <f t="shared" si="23"/>
        <v>27.5</v>
      </c>
      <c r="AR70" s="3" t="s">
        <v>58</v>
      </c>
      <c r="AS70" s="4">
        <v>8.8000000000000007</v>
      </c>
      <c r="AT70" s="4">
        <v>8.6</v>
      </c>
      <c r="AU70" s="4">
        <v>68</v>
      </c>
      <c r="AV70" s="4">
        <v>70.099999999999994</v>
      </c>
      <c r="AW70" s="4">
        <f t="shared" si="29"/>
        <v>0.20000000000000107</v>
      </c>
      <c r="AX70" s="5">
        <f t="shared" si="24"/>
        <v>2.0999999999999943</v>
      </c>
    </row>
    <row r="71" spans="2:50" x14ac:dyDescent="0.25">
      <c r="B71" s="6"/>
      <c r="C71" s="7">
        <v>8</v>
      </c>
      <c r="D71" s="7">
        <v>7.4</v>
      </c>
      <c r="E71" s="7">
        <v>97</v>
      </c>
      <c r="F71" s="7">
        <v>92.4</v>
      </c>
      <c r="G71" s="7">
        <f t="shared" si="25"/>
        <v>0.59999999999999964</v>
      </c>
      <c r="H71" s="8">
        <f t="shared" si="20"/>
        <v>4.5999999999999943</v>
      </c>
      <c r="L71" s="6"/>
      <c r="M71" s="7">
        <v>8</v>
      </c>
      <c r="N71" s="7">
        <v>9.4</v>
      </c>
      <c r="O71" s="7">
        <v>97</v>
      </c>
      <c r="P71" s="7">
        <v>90.8</v>
      </c>
      <c r="Q71" s="7">
        <f t="shared" si="26"/>
        <v>1.4000000000000004</v>
      </c>
      <c r="R71" s="8">
        <f t="shared" si="21"/>
        <v>6.2000000000000028</v>
      </c>
      <c r="V71" s="6"/>
      <c r="W71" s="7">
        <v>8</v>
      </c>
      <c r="X71" s="7">
        <v>7</v>
      </c>
      <c r="Y71" s="7">
        <v>97</v>
      </c>
      <c r="Z71" s="7">
        <v>90</v>
      </c>
      <c r="AA71" s="7">
        <f t="shared" si="27"/>
        <v>1</v>
      </c>
      <c r="AB71" s="8">
        <f t="shared" si="22"/>
        <v>7</v>
      </c>
      <c r="AG71" s="6"/>
      <c r="AH71" s="7">
        <v>8</v>
      </c>
      <c r="AI71" s="7"/>
      <c r="AJ71" s="7">
        <v>97</v>
      </c>
      <c r="AK71" s="7">
        <v>153</v>
      </c>
      <c r="AL71" s="7">
        <f t="shared" si="28"/>
        <v>8</v>
      </c>
      <c r="AM71" s="8">
        <f t="shared" si="23"/>
        <v>56</v>
      </c>
      <c r="AR71" s="6"/>
      <c r="AS71" s="7">
        <v>8</v>
      </c>
      <c r="AT71" s="7">
        <v>7.6</v>
      </c>
      <c r="AU71" s="7">
        <v>97</v>
      </c>
      <c r="AV71" s="7">
        <v>88.6</v>
      </c>
      <c r="AW71" s="7">
        <f t="shared" si="29"/>
        <v>0.40000000000000036</v>
      </c>
      <c r="AX71" s="8">
        <f t="shared" si="24"/>
        <v>8.4000000000000057</v>
      </c>
    </row>
    <row r="72" spans="2:50" x14ac:dyDescent="0.25">
      <c r="B72" s="3" t="s">
        <v>59</v>
      </c>
      <c r="C72" s="4">
        <v>8.8000000000000007</v>
      </c>
      <c r="D72" s="4">
        <v>8.3000000000000007</v>
      </c>
      <c r="E72" s="4">
        <v>70</v>
      </c>
      <c r="F72" s="4">
        <v>84.6</v>
      </c>
      <c r="G72">
        <f t="shared" si="25"/>
        <v>0.5</v>
      </c>
      <c r="H72" s="13">
        <f t="shared" si="20"/>
        <v>14.599999999999994</v>
      </c>
      <c r="L72" s="3" t="s">
        <v>59</v>
      </c>
      <c r="M72" s="4">
        <v>8.8000000000000007</v>
      </c>
      <c r="N72" s="4">
        <v>9.1999999999999993</v>
      </c>
      <c r="O72" s="4">
        <v>70</v>
      </c>
      <c r="P72" s="4">
        <v>116.4</v>
      </c>
      <c r="Q72" s="4">
        <f t="shared" si="26"/>
        <v>0.39999999999999858</v>
      </c>
      <c r="R72" s="5">
        <f t="shared" si="21"/>
        <v>46.400000000000006</v>
      </c>
      <c r="V72" s="3" t="s">
        <v>59</v>
      </c>
      <c r="W72" s="4">
        <v>8.8000000000000007</v>
      </c>
      <c r="X72" s="4">
        <v>8.1999999999999993</v>
      </c>
      <c r="Y72" s="4">
        <v>70</v>
      </c>
      <c r="Z72" s="4">
        <v>88.8</v>
      </c>
      <c r="AA72">
        <f t="shared" si="27"/>
        <v>0.60000000000000142</v>
      </c>
      <c r="AB72" s="13">
        <f t="shared" si="22"/>
        <v>18.799999999999997</v>
      </c>
      <c r="AG72" s="3" t="s">
        <v>59</v>
      </c>
      <c r="AH72" s="4">
        <v>8.8000000000000007</v>
      </c>
      <c r="AI72" s="4"/>
      <c r="AJ72" s="4">
        <v>70</v>
      </c>
      <c r="AK72" s="4">
        <v>195</v>
      </c>
      <c r="AL72">
        <f t="shared" si="28"/>
        <v>8.8000000000000007</v>
      </c>
      <c r="AM72" s="13">
        <f t="shared" si="23"/>
        <v>125</v>
      </c>
      <c r="AR72" s="3" t="s">
        <v>59</v>
      </c>
      <c r="AS72" s="4">
        <v>8.8000000000000007</v>
      </c>
      <c r="AT72" s="4">
        <v>8.1999999999999993</v>
      </c>
      <c r="AU72" s="4">
        <v>70</v>
      </c>
      <c r="AV72" s="4">
        <v>90.3</v>
      </c>
      <c r="AW72" s="4">
        <f t="shared" si="29"/>
        <v>0.60000000000000142</v>
      </c>
      <c r="AX72" s="5">
        <f t="shared" si="24"/>
        <v>20.299999999999997</v>
      </c>
    </row>
    <row r="73" spans="2:50" x14ac:dyDescent="0.25">
      <c r="B73" s="6"/>
      <c r="C73" s="7">
        <v>9.1999999999999993</v>
      </c>
      <c r="D73" s="7">
        <v>8.3000000000000007</v>
      </c>
      <c r="E73" s="7">
        <v>94</v>
      </c>
      <c r="F73" s="7">
        <v>86.6</v>
      </c>
      <c r="G73" s="7">
        <f t="shared" si="25"/>
        <v>0.89999999999999858</v>
      </c>
      <c r="H73" s="8">
        <f t="shared" si="20"/>
        <v>7.4000000000000057</v>
      </c>
      <c r="L73" s="6"/>
      <c r="M73" s="7">
        <v>9.1999999999999993</v>
      </c>
      <c r="N73" s="7">
        <v>9.4</v>
      </c>
      <c r="O73" s="7">
        <v>94</v>
      </c>
      <c r="P73" s="7">
        <v>118.8</v>
      </c>
      <c r="Q73" s="7">
        <f t="shared" si="26"/>
        <v>0.20000000000000107</v>
      </c>
      <c r="R73" s="8">
        <f t="shared" si="21"/>
        <v>24.799999999999997</v>
      </c>
      <c r="V73" s="6"/>
      <c r="W73" s="7">
        <v>9.1999999999999993</v>
      </c>
      <c r="X73" s="7">
        <v>8.1999999999999993</v>
      </c>
      <c r="Y73" s="7">
        <v>94</v>
      </c>
      <c r="Z73" s="7">
        <v>94</v>
      </c>
      <c r="AA73" s="7">
        <f t="shared" si="27"/>
        <v>1</v>
      </c>
      <c r="AB73" s="8">
        <f t="shared" si="22"/>
        <v>0</v>
      </c>
      <c r="AG73" s="6"/>
      <c r="AH73" s="7">
        <v>9.1999999999999993</v>
      </c>
      <c r="AI73" s="7"/>
      <c r="AJ73" s="7">
        <v>94</v>
      </c>
      <c r="AK73" s="7">
        <v>88</v>
      </c>
      <c r="AL73" s="7">
        <f t="shared" si="28"/>
        <v>9.1999999999999993</v>
      </c>
      <c r="AM73" s="8">
        <f t="shared" si="23"/>
        <v>6</v>
      </c>
      <c r="AR73" s="6"/>
      <c r="AS73" s="7">
        <v>9.1999999999999993</v>
      </c>
      <c r="AT73" s="7">
        <v>7.8</v>
      </c>
      <c r="AU73" s="7">
        <v>94</v>
      </c>
      <c r="AV73" s="7">
        <v>99.6</v>
      </c>
      <c r="AW73" s="7">
        <f t="shared" si="29"/>
        <v>1.3999999999999995</v>
      </c>
      <c r="AX73" s="8">
        <f t="shared" si="24"/>
        <v>5.5999999999999943</v>
      </c>
    </row>
    <row r="74" spans="2:50" x14ac:dyDescent="0.25">
      <c r="B74" s="3" t="s">
        <v>26</v>
      </c>
      <c r="C74" s="4">
        <v>16.5</v>
      </c>
      <c r="D74" s="4">
        <v>16.2</v>
      </c>
      <c r="E74" s="4">
        <v>100</v>
      </c>
      <c r="F74" s="4">
        <v>93.8</v>
      </c>
      <c r="G74">
        <f t="shared" ref="G74:G84" si="30">ABS(C74-D74)</f>
        <v>0.30000000000000071</v>
      </c>
      <c r="H74" s="13">
        <f t="shared" ref="H74:H84" si="31">ABS(E74-F74)</f>
        <v>6.2000000000000028</v>
      </c>
      <c r="L74" s="3" t="s">
        <v>26</v>
      </c>
      <c r="M74" s="4">
        <v>16.5</v>
      </c>
      <c r="N74" s="4">
        <v>16.899999999999999</v>
      </c>
      <c r="O74" s="4">
        <v>100</v>
      </c>
      <c r="P74" s="4">
        <v>100</v>
      </c>
      <c r="Q74">
        <f t="shared" ref="Q74:Q84" si="32">ABS(M74-N74)</f>
        <v>0.39999999999999858</v>
      </c>
      <c r="R74" s="13">
        <f t="shared" ref="R74:R84" si="33">ABS(O74-P74)</f>
        <v>0</v>
      </c>
      <c r="V74" s="3" t="s">
        <v>26</v>
      </c>
      <c r="W74" s="4">
        <v>16.5</v>
      </c>
      <c r="X74" s="4">
        <v>17.600000000000001</v>
      </c>
      <c r="Y74" s="4">
        <v>100</v>
      </c>
      <c r="Z74" s="4">
        <v>100</v>
      </c>
      <c r="AA74" s="4">
        <f t="shared" ref="AA74:AA84" si="34">ABS(W74-X74)</f>
        <v>1.1000000000000014</v>
      </c>
      <c r="AB74" s="5">
        <f t="shared" ref="AB74:AB84" si="35">ABS(Y74-Z74)</f>
        <v>0</v>
      </c>
      <c r="AG74" s="3" t="s">
        <v>26</v>
      </c>
      <c r="AH74" s="4">
        <v>16.5</v>
      </c>
      <c r="AI74" s="4"/>
      <c r="AJ74" s="4">
        <v>100</v>
      </c>
      <c r="AK74" s="4">
        <v>108</v>
      </c>
      <c r="AL74">
        <f t="shared" ref="AL74:AL84" si="36">ABS(AH74-AI74)</f>
        <v>16.5</v>
      </c>
      <c r="AM74" s="13">
        <f t="shared" ref="AM74:AM84" si="37">ABS(AJ74-AK74)</f>
        <v>8</v>
      </c>
      <c r="AR74" s="3" t="s">
        <v>26</v>
      </c>
      <c r="AS74" s="4">
        <v>16.5</v>
      </c>
      <c r="AT74" s="4">
        <v>17.2</v>
      </c>
      <c r="AU74" s="4">
        <v>100</v>
      </c>
      <c r="AV74" s="4">
        <v>91.3</v>
      </c>
      <c r="AW74">
        <f t="shared" ref="AW74:AW84" si="38">ABS(AS74-AT74)</f>
        <v>0.69999999999999929</v>
      </c>
      <c r="AX74" s="13">
        <f t="shared" ref="AX74:AX84" si="39">ABS(AU74-AV74)</f>
        <v>8.7000000000000028</v>
      </c>
    </row>
    <row r="75" spans="2:50" x14ac:dyDescent="0.25">
      <c r="B75" s="6"/>
      <c r="C75" s="7">
        <v>12.5</v>
      </c>
      <c r="D75" s="7">
        <v>11</v>
      </c>
      <c r="E75" s="7">
        <v>75</v>
      </c>
      <c r="F75" s="7">
        <v>80</v>
      </c>
      <c r="G75" s="7">
        <f t="shared" si="30"/>
        <v>1.5</v>
      </c>
      <c r="H75" s="8">
        <f t="shared" si="31"/>
        <v>5</v>
      </c>
      <c r="L75" s="6"/>
      <c r="M75" s="7">
        <v>12.5</v>
      </c>
      <c r="N75" s="7">
        <v>11.7</v>
      </c>
      <c r="O75" s="7">
        <v>75</v>
      </c>
      <c r="P75" s="7">
        <v>55.5</v>
      </c>
      <c r="Q75" s="7">
        <f t="shared" si="32"/>
        <v>0.80000000000000071</v>
      </c>
      <c r="R75" s="8">
        <f t="shared" si="33"/>
        <v>19.5</v>
      </c>
      <c r="V75" s="6"/>
      <c r="W75" s="7">
        <v>12.5</v>
      </c>
      <c r="X75" s="7">
        <v>11</v>
      </c>
      <c r="Y75" s="7">
        <v>75</v>
      </c>
      <c r="Z75" s="7">
        <v>105.5</v>
      </c>
      <c r="AA75" s="7">
        <f t="shared" si="34"/>
        <v>1.5</v>
      </c>
      <c r="AB75" s="8">
        <f t="shared" si="35"/>
        <v>30.5</v>
      </c>
      <c r="AG75" s="6"/>
      <c r="AH75" s="7">
        <v>12.5</v>
      </c>
      <c r="AI75" s="7"/>
      <c r="AJ75" s="7">
        <v>75</v>
      </c>
      <c r="AK75" s="7">
        <v>62</v>
      </c>
      <c r="AL75" s="7">
        <f t="shared" si="36"/>
        <v>12.5</v>
      </c>
      <c r="AM75" s="8">
        <f t="shared" si="37"/>
        <v>13</v>
      </c>
      <c r="AR75" s="6"/>
      <c r="AS75" s="7">
        <v>12.5</v>
      </c>
      <c r="AT75" s="7">
        <v>11</v>
      </c>
      <c r="AU75" s="7">
        <v>75</v>
      </c>
      <c r="AV75" s="7">
        <v>81</v>
      </c>
      <c r="AW75" s="7">
        <f t="shared" si="38"/>
        <v>1.5</v>
      </c>
      <c r="AX75" s="8">
        <f t="shared" si="39"/>
        <v>6</v>
      </c>
    </row>
    <row r="76" spans="2:50" x14ac:dyDescent="0.25">
      <c r="B76" s="3" t="s">
        <v>27</v>
      </c>
      <c r="C76" s="4">
        <v>10</v>
      </c>
      <c r="D76" s="4">
        <v>10</v>
      </c>
      <c r="E76" s="4">
        <v>72</v>
      </c>
      <c r="F76" s="4">
        <v>78.8</v>
      </c>
      <c r="G76" s="4">
        <f t="shared" si="30"/>
        <v>0</v>
      </c>
      <c r="H76" s="5">
        <f t="shared" si="31"/>
        <v>6.7999999999999972</v>
      </c>
      <c r="L76" s="3" t="s">
        <v>27</v>
      </c>
      <c r="M76" s="4">
        <v>10</v>
      </c>
      <c r="N76" s="4">
        <v>8.3000000000000007</v>
      </c>
      <c r="O76" s="4">
        <v>72</v>
      </c>
      <c r="P76" s="4">
        <v>49.5</v>
      </c>
      <c r="Q76" s="4">
        <f t="shared" si="32"/>
        <v>1.6999999999999993</v>
      </c>
      <c r="R76" s="5">
        <f t="shared" si="33"/>
        <v>22.5</v>
      </c>
      <c r="V76" s="3" t="s">
        <v>27</v>
      </c>
      <c r="W76" s="4">
        <v>10</v>
      </c>
      <c r="X76" s="4">
        <v>10.3</v>
      </c>
      <c r="Y76" s="4">
        <v>72</v>
      </c>
      <c r="Z76" s="4">
        <v>101.8</v>
      </c>
      <c r="AA76" s="4">
        <f t="shared" si="34"/>
        <v>0.30000000000000071</v>
      </c>
      <c r="AB76" s="5">
        <f t="shared" si="35"/>
        <v>29.799999999999997</v>
      </c>
      <c r="AG76" s="3" t="s">
        <v>27</v>
      </c>
      <c r="AH76" s="4">
        <v>10</v>
      </c>
      <c r="AI76" s="4"/>
      <c r="AJ76" s="4">
        <v>72</v>
      </c>
      <c r="AK76" s="4">
        <v>157</v>
      </c>
      <c r="AL76" s="4">
        <f t="shared" si="36"/>
        <v>10</v>
      </c>
      <c r="AM76" s="5">
        <f t="shared" si="37"/>
        <v>85</v>
      </c>
      <c r="AR76" s="3" t="s">
        <v>27</v>
      </c>
      <c r="AS76" s="4">
        <v>10</v>
      </c>
      <c r="AT76" s="4">
        <v>9.8000000000000007</v>
      </c>
      <c r="AU76" s="4">
        <v>72</v>
      </c>
      <c r="AV76" s="4">
        <v>71</v>
      </c>
      <c r="AW76" s="4">
        <f t="shared" si="38"/>
        <v>0.19999999999999929</v>
      </c>
      <c r="AX76" s="5">
        <f t="shared" si="39"/>
        <v>1</v>
      </c>
    </row>
    <row r="77" spans="2:50" x14ac:dyDescent="0.25">
      <c r="B77" s="6"/>
      <c r="C77" s="7">
        <v>17.5</v>
      </c>
      <c r="D77" s="7">
        <v>17</v>
      </c>
      <c r="E77" s="7">
        <v>111</v>
      </c>
      <c r="F77" s="7">
        <v>74.3</v>
      </c>
      <c r="G77" s="7">
        <f t="shared" si="30"/>
        <v>0.5</v>
      </c>
      <c r="H77" s="8">
        <f t="shared" si="31"/>
        <v>36.700000000000003</v>
      </c>
      <c r="L77" s="6"/>
      <c r="M77" s="7">
        <v>17.5</v>
      </c>
      <c r="N77" s="7">
        <v>17.2</v>
      </c>
      <c r="O77" s="7">
        <v>111</v>
      </c>
      <c r="P77" s="7">
        <v>63.5</v>
      </c>
      <c r="Q77" s="7">
        <f t="shared" si="32"/>
        <v>0.30000000000000071</v>
      </c>
      <c r="R77" s="8">
        <f t="shared" si="33"/>
        <v>47.5</v>
      </c>
      <c r="V77" s="6"/>
      <c r="W77" s="7">
        <v>17.5</v>
      </c>
      <c r="X77" s="7">
        <v>16.899999999999999</v>
      </c>
      <c r="Y77" s="7">
        <v>111</v>
      </c>
      <c r="Z77" s="7">
        <v>102.2</v>
      </c>
      <c r="AA77" s="7">
        <f t="shared" si="34"/>
        <v>0.60000000000000142</v>
      </c>
      <c r="AB77" s="8">
        <f t="shared" si="35"/>
        <v>8.7999999999999972</v>
      </c>
      <c r="AG77" s="6"/>
      <c r="AH77" s="7">
        <v>17.5</v>
      </c>
      <c r="AI77" s="7"/>
      <c r="AJ77" s="7">
        <v>111</v>
      </c>
      <c r="AK77" s="7">
        <v>75.3</v>
      </c>
      <c r="AL77" s="7">
        <f t="shared" si="36"/>
        <v>17.5</v>
      </c>
      <c r="AM77" s="8">
        <f t="shared" si="37"/>
        <v>35.700000000000003</v>
      </c>
      <c r="AR77" s="6"/>
      <c r="AS77" s="7">
        <v>17.5</v>
      </c>
      <c r="AT77" s="7">
        <v>16.5</v>
      </c>
      <c r="AU77" s="7">
        <v>111</v>
      </c>
      <c r="AV77" s="7">
        <v>81.599999999999994</v>
      </c>
      <c r="AW77" s="7">
        <f t="shared" si="38"/>
        <v>1</v>
      </c>
      <c r="AX77" s="8">
        <f t="shared" si="39"/>
        <v>29.400000000000006</v>
      </c>
    </row>
    <row r="78" spans="2:50" x14ac:dyDescent="0.25">
      <c r="B78" s="3" t="s">
        <v>28</v>
      </c>
      <c r="C78" s="4">
        <v>15.5</v>
      </c>
      <c r="D78" s="4">
        <v>14.6</v>
      </c>
      <c r="E78" s="4">
        <v>94</v>
      </c>
      <c r="F78" s="4">
        <v>85.5</v>
      </c>
      <c r="G78" s="4">
        <f t="shared" si="30"/>
        <v>0.90000000000000036</v>
      </c>
      <c r="H78" s="5">
        <f t="shared" si="31"/>
        <v>8.5</v>
      </c>
      <c r="L78" s="3" t="s">
        <v>28</v>
      </c>
      <c r="M78" s="4">
        <v>15.5</v>
      </c>
      <c r="N78" s="4">
        <v>14.6</v>
      </c>
      <c r="O78" s="4">
        <v>94</v>
      </c>
      <c r="P78" s="4">
        <v>72</v>
      </c>
      <c r="Q78" s="4">
        <f t="shared" si="32"/>
        <v>0.90000000000000036</v>
      </c>
      <c r="R78" s="5">
        <f t="shared" si="33"/>
        <v>22</v>
      </c>
      <c r="V78" s="3" t="s">
        <v>28</v>
      </c>
      <c r="W78" s="4">
        <v>15.5</v>
      </c>
      <c r="X78" s="4">
        <v>13.9</v>
      </c>
      <c r="Y78" s="4">
        <v>94</v>
      </c>
      <c r="Z78" s="4">
        <v>108.4</v>
      </c>
      <c r="AA78" s="4">
        <f t="shared" si="34"/>
        <v>1.5999999999999996</v>
      </c>
      <c r="AB78" s="5">
        <f t="shared" si="35"/>
        <v>14.400000000000006</v>
      </c>
      <c r="AG78" s="3" t="s">
        <v>28</v>
      </c>
      <c r="AH78" s="4">
        <v>15.5</v>
      </c>
      <c r="AI78" s="4"/>
      <c r="AJ78" s="4">
        <v>94</v>
      </c>
      <c r="AK78" s="4">
        <v>75</v>
      </c>
      <c r="AL78" s="4">
        <f t="shared" si="36"/>
        <v>15.5</v>
      </c>
      <c r="AM78" s="5">
        <f t="shared" si="37"/>
        <v>19</v>
      </c>
      <c r="AR78" s="3" t="s">
        <v>28</v>
      </c>
      <c r="AS78" s="4">
        <v>15.5</v>
      </c>
      <c r="AT78" s="4">
        <v>15.5</v>
      </c>
      <c r="AU78" s="4">
        <v>94</v>
      </c>
      <c r="AV78" s="4">
        <v>72.5</v>
      </c>
      <c r="AW78" s="4">
        <f t="shared" si="38"/>
        <v>0</v>
      </c>
      <c r="AX78" s="5">
        <f t="shared" si="39"/>
        <v>21.5</v>
      </c>
    </row>
    <row r="79" spans="2:50" x14ac:dyDescent="0.25">
      <c r="B79" s="6"/>
      <c r="C79" s="7">
        <v>13</v>
      </c>
      <c r="D79" s="7">
        <v>12.2</v>
      </c>
      <c r="E79" s="7">
        <v>94</v>
      </c>
      <c r="F79" s="7">
        <v>76</v>
      </c>
      <c r="G79" s="7">
        <f t="shared" si="30"/>
        <v>0.80000000000000071</v>
      </c>
      <c r="H79" s="8">
        <f t="shared" si="31"/>
        <v>18</v>
      </c>
      <c r="L79" s="6"/>
      <c r="M79" s="7">
        <v>13</v>
      </c>
      <c r="N79" s="7">
        <v>12.2</v>
      </c>
      <c r="O79" s="7">
        <v>94</v>
      </c>
      <c r="P79" s="7">
        <v>63.5</v>
      </c>
      <c r="Q79" s="7">
        <f t="shared" si="32"/>
        <v>0.80000000000000071</v>
      </c>
      <c r="R79" s="8">
        <f t="shared" si="33"/>
        <v>30.5</v>
      </c>
      <c r="V79" s="6"/>
      <c r="W79" s="7">
        <v>13</v>
      </c>
      <c r="X79" s="7">
        <v>11.7</v>
      </c>
      <c r="Y79" s="7">
        <v>94</v>
      </c>
      <c r="Z79" s="7">
        <v>104.4</v>
      </c>
      <c r="AA79" s="7">
        <f t="shared" si="34"/>
        <v>1.3000000000000007</v>
      </c>
      <c r="AB79" s="8">
        <f t="shared" si="35"/>
        <v>10.400000000000006</v>
      </c>
      <c r="AG79" s="6"/>
      <c r="AH79" s="7">
        <v>13</v>
      </c>
      <c r="AI79" s="7"/>
      <c r="AJ79" s="7">
        <v>94</v>
      </c>
      <c r="AK79" s="7">
        <v>115.5</v>
      </c>
      <c r="AL79" s="7">
        <f t="shared" si="36"/>
        <v>13</v>
      </c>
      <c r="AM79" s="8">
        <f t="shared" si="37"/>
        <v>21.5</v>
      </c>
      <c r="AR79" s="6"/>
      <c r="AS79" s="7">
        <v>13</v>
      </c>
      <c r="AT79" s="7">
        <v>11.3</v>
      </c>
      <c r="AU79" s="7">
        <v>94</v>
      </c>
      <c r="AV79" s="7">
        <v>106</v>
      </c>
      <c r="AW79" s="7">
        <f t="shared" si="38"/>
        <v>1.6999999999999993</v>
      </c>
      <c r="AX79" s="8">
        <f t="shared" si="39"/>
        <v>12</v>
      </c>
    </row>
    <row r="80" spans="2:50" x14ac:dyDescent="0.25">
      <c r="B80" s="3" t="s">
        <v>29</v>
      </c>
      <c r="C80" s="4">
        <v>14.5</v>
      </c>
      <c r="D80" s="4">
        <v>13.9</v>
      </c>
      <c r="E80" s="4">
        <v>104</v>
      </c>
      <c r="F80" s="4">
        <v>98.2</v>
      </c>
      <c r="G80" s="4">
        <f t="shared" si="30"/>
        <v>0.59999999999999964</v>
      </c>
      <c r="H80" s="5">
        <f t="shared" si="31"/>
        <v>5.7999999999999972</v>
      </c>
      <c r="L80" s="3" t="s">
        <v>29</v>
      </c>
      <c r="M80" s="4">
        <v>14.5</v>
      </c>
      <c r="N80" s="4">
        <v>13.6</v>
      </c>
      <c r="O80" s="4">
        <v>104</v>
      </c>
      <c r="P80" s="4">
        <v>105</v>
      </c>
      <c r="Q80" s="4">
        <f t="shared" si="32"/>
        <v>0.90000000000000036</v>
      </c>
      <c r="R80" s="5">
        <f t="shared" si="33"/>
        <v>1</v>
      </c>
      <c r="V80" s="3" t="s">
        <v>29</v>
      </c>
      <c r="W80" s="4">
        <v>14.5</v>
      </c>
      <c r="X80" s="4">
        <v>13.9</v>
      </c>
      <c r="Y80" s="4">
        <v>104</v>
      </c>
      <c r="Z80" s="4">
        <v>105.8</v>
      </c>
      <c r="AA80" s="4">
        <f t="shared" si="34"/>
        <v>0.59999999999999964</v>
      </c>
      <c r="AB80" s="5">
        <f t="shared" si="35"/>
        <v>1.7999999999999972</v>
      </c>
      <c r="AG80" s="3" t="s">
        <v>29</v>
      </c>
      <c r="AH80" s="4">
        <v>14.5</v>
      </c>
      <c r="AI80" s="4"/>
      <c r="AJ80" s="4">
        <v>104</v>
      </c>
      <c r="AK80" s="4">
        <v>120</v>
      </c>
      <c r="AL80" s="4">
        <f t="shared" si="36"/>
        <v>14.5</v>
      </c>
      <c r="AM80" s="5">
        <f t="shared" si="37"/>
        <v>16</v>
      </c>
      <c r="AR80" s="3" t="s">
        <v>29</v>
      </c>
      <c r="AS80" s="4">
        <v>14.5</v>
      </c>
      <c r="AT80" s="4">
        <v>14</v>
      </c>
      <c r="AU80" s="4">
        <v>104</v>
      </c>
      <c r="AV80" s="4">
        <v>99.5</v>
      </c>
      <c r="AW80" s="4">
        <f t="shared" si="38"/>
        <v>0.5</v>
      </c>
      <c r="AX80" s="5">
        <f t="shared" si="39"/>
        <v>4.5</v>
      </c>
    </row>
    <row r="81" spans="2:50" x14ac:dyDescent="0.25">
      <c r="B81" s="6"/>
      <c r="C81" s="7">
        <v>11</v>
      </c>
      <c r="D81" s="7">
        <v>10.5</v>
      </c>
      <c r="E81" s="7">
        <v>98</v>
      </c>
      <c r="F81" s="7">
        <v>76.3</v>
      </c>
      <c r="G81" s="7">
        <f t="shared" si="30"/>
        <v>0.5</v>
      </c>
      <c r="H81" s="8">
        <f t="shared" si="31"/>
        <v>21.700000000000003</v>
      </c>
      <c r="L81" s="6"/>
      <c r="M81" s="7">
        <v>11</v>
      </c>
      <c r="N81" s="7">
        <v>11.9</v>
      </c>
      <c r="O81" s="7">
        <v>98</v>
      </c>
      <c r="P81" s="7">
        <v>61.5</v>
      </c>
      <c r="Q81" s="7">
        <f t="shared" si="32"/>
        <v>0.90000000000000036</v>
      </c>
      <c r="R81" s="8">
        <f t="shared" si="33"/>
        <v>36.5</v>
      </c>
      <c r="V81" s="6"/>
      <c r="W81" s="7">
        <v>11</v>
      </c>
      <c r="X81" s="7">
        <v>10.3</v>
      </c>
      <c r="Y81" s="7">
        <v>98</v>
      </c>
      <c r="Z81" s="7">
        <v>107.7</v>
      </c>
      <c r="AA81" s="7">
        <f t="shared" si="34"/>
        <v>0.69999999999999929</v>
      </c>
      <c r="AB81" s="8">
        <f t="shared" si="35"/>
        <v>9.7000000000000028</v>
      </c>
      <c r="AG81" s="6"/>
      <c r="AH81" s="7">
        <v>11</v>
      </c>
      <c r="AI81" s="7"/>
      <c r="AJ81" s="7">
        <v>98</v>
      </c>
      <c r="AK81" s="7">
        <v>219</v>
      </c>
      <c r="AL81" s="7">
        <f t="shared" si="36"/>
        <v>11</v>
      </c>
      <c r="AM81" s="8">
        <f t="shared" si="37"/>
        <v>121</v>
      </c>
      <c r="AR81" s="6"/>
      <c r="AS81" s="7">
        <v>11</v>
      </c>
      <c r="AT81" s="7">
        <v>10</v>
      </c>
      <c r="AU81" s="7">
        <v>98</v>
      </c>
      <c r="AV81" s="7">
        <v>86.5</v>
      </c>
      <c r="AW81" s="7">
        <f t="shared" si="38"/>
        <v>1</v>
      </c>
      <c r="AX81" s="8">
        <f t="shared" si="39"/>
        <v>11.5</v>
      </c>
    </row>
    <row r="82" spans="2:50" x14ac:dyDescent="0.25">
      <c r="B82" s="3" t="s">
        <v>40</v>
      </c>
      <c r="C82" s="4">
        <v>18</v>
      </c>
      <c r="D82" s="4">
        <v>18.3</v>
      </c>
      <c r="E82" s="4">
        <v>87</v>
      </c>
      <c r="F82" s="4">
        <v>44.5</v>
      </c>
      <c r="G82" s="4">
        <f t="shared" si="30"/>
        <v>0.30000000000000071</v>
      </c>
      <c r="H82" s="5">
        <f t="shared" si="31"/>
        <v>42.5</v>
      </c>
      <c r="L82" s="3" t="s">
        <v>40</v>
      </c>
      <c r="M82" s="4">
        <v>18</v>
      </c>
      <c r="N82" s="4">
        <v>17.899999999999999</v>
      </c>
      <c r="O82" s="4">
        <v>87</v>
      </c>
      <c r="P82" s="4">
        <v>71.599999999999994</v>
      </c>
      <c r="Q82" s="4">
        <f t="shared" si="32"/>
        <v>0.10000000000000142</v>
      </c>
      <c r="R82" s="5">
        <f t="shared" si="33"/>
        <v>15.400000000000006</v>
      </c>
      <c r="V82" s="3" t="s">
        <v>40</v>
      </c>
      <c r="W82" s="4">
        <v>18</v>
      </c>
      <c r="X82" s="4">
        <v>17.600000000000001</v>
      </c>
      <c r="Y82" s="4">
        <v>87</v>
      </c>
      <c r="Z82" s="4">
        <v>79.099999999999994</v>
      </c>
      <c r="AA82" s="4">
        <f t="shared" si="34"/>
        <v>0.39999999999999858</v>
      </c>
      <c r="AB82" s="5">
        <f t="shared" si="35"/>
        <v>7.9000000000000057</v>
      </c>
      <c r="AG82" s="3" t="s">
        <v>40</v>
      </c>
      <c r="AH82" s="4">
        <v>18</v>
      </c>
      <c r="AI82" s="4"/>
      <c r="AJ82" s="4">
        <v>87</v>
      </c>
      <c r="AK82" s="4">
        <v>66.5</v>
      </c>
      <c r="AL82" s="4">
        <f t="shared" si="36"/>
        <v>18</v>
      </c>
      <c r="AM82" s="5">
        <f t="shared" si="37"/>
        <v>20.5</v>
      </c>
      <c r="AR82" s="3" t="s">
        <v>40</v>
      </c>
      <c r="AS82" s="4">
        <v>18</v>
      </c>
      <c r="AT82" s="4">
        <v>17.61</v>
      </c>
      <c r="AU82" s="4">
        <v>87</v>
      </c>
      <c r="AV82" s="4">
        <v>40</v>
      </c>
      <c r="AW82" s="4">
        <f t="shared" si="38"/>
        <v>0.39000000000000057</v>
      </c>
      <c r="AX82" s="5">
        <f t="shared" si="39"/>
        <v>47</v>
      </c>
    </row>
    <row r="83" spans="2:50" x14ac:dyDescent="0.25">
      <c r="B83" s="12"/>
      <c r="C83">
        <v>8.8000000000000007</v>
      </c>
      <c r="D83">
        <v>8.3000000000000007</v>
      </c>
      <c r="E83">
        <v>74</v>
      </c>
      <c r="F83">
        <v>72.400000000000006</v>
      </c>
      <c r="G83">
        <f t="shared" si="30"/>
        <v>0.5</v>
      </c>
      <c r="H83" s="13">
        <f t="shared" si="31"/>
        <v>1.5999999999999943</v>
      </c>
      <c r="L83" s="12"/>
      <c r="M83">
        <v>8.8000000000000007</v>
      </c>
      <c r="N83">
        <v>9.3000000000000007</v>
      </c>
      <c r="O83">
        <v>74</v>
      </c>
      <c r="P83">
        <v>59.2</v>
      </c>
      <c r="Q83">
        <f t="shared" si="32"/>
        <v>0.5</v>
      </c>
      <c r="R83" s="13">
        <f t="shared" si="33"/>
        <v>14.799999999999997</v>
      </c>
      <c r="V83" s="12"/>
      <c r="W83">
        <v>8.8000000000000007</v>
      </c>
      <c r="X83">
        <v>8.1999999999999993</v>
      </c>
      <c r="Y83">
        <v>74</v>
      </c>
      <c r="Z83">
        <v>92</v>
      </c>
      <c r="AA83">
        <f t="shared" si="34"/>
        <v>0.60000000000000142</v>
      </c>
      <c r="AB83" s="13">
        <f t="shared" si="35"/>
        <v>18</v>
      </c>
      <c r="AG83" s="12"/>
      <c r="AH83">
        <v>8.8000000000000007</v>
      </c>
      <c r="AJ83">
        <v>74</v>
      </c>
      <c r="AK83">
        <v>192.5</v>
      </c>
      <c r="AL83">
        <f t="shared" si="36"/>
        <v>8.8000000000000007</v>
      </c>
      <c r="AM83" s="13">
        <f t="shared" si="37"/>
        <v>118.5</v>
      </c>
      <c r="AR83" s="12"/>
      <c r="AS83">
        <v>8.8000000000000007</v>
      </c>
      <c r="AT83">
        <v>8.6</v>
      </c>
      <c r="AU83">
        <v>74</v>
      </c>
      <c r="AV83">
        <v>60.6</v>
      </c>
      <c r="AW83">
        <f t="shared" si="38"/>
        <v>0.20000000000000107</v>
      </c>
      <c r="AX83" s="13">
        <f t="shared" si="39"/>
        <v>13.399999999999999</v>
      </c>
    </row>
    <row r="84" spans="2:50" x14ac:dyDescent="0.25">
      <c r="B84" s="6"/>
      <c r="C84" s="7">
        <v>8.8000000000000007</v>
      </c>
      <c r="D84" s="7">
        <v>9</v>
      </c>
      <c r="E84" s="7">
        <v>91</v>
      </c>
      <c r="F84" s="7">
        <v>81</v>
      </c>
      <c r="G84" s="7">
        <f t="shared" si="30"/>
        <v>0.19999999999999929</v>
      </c>
      <c r="H84" s="8">
        <f t="shared" si="31"/>
        <v>10</v>
      </c>
      <c r="L84" s="6"/>
      <c r="M84" s="7">
        <v>8.8000000000000007</v>
      </c>
      <c r="N84" s="7">
        <v>8.6</v>
      </c>
      <c r="O84" s="7">
        <v>91</v>
      </c>
      <c r="P84" s="7">
        <v>64.8</v>
      </c>
      <c r="Q84" s="7">
        <f t="shared" si="32"/>
        <v>0.20000000000000107</v>
      </c>
      <c r="R84" s="8">
        <f t="shared" si="33"/>
        <v>26.200000000000003</v>
      </c>
      <c r="V84" s="6"/>
      <c r="W84" s="7">
        <v>8.8000000000000007</v>
      </c>
      <c r="X84" s="7">
        <v>7</v>
      </c>
      <c r="Y84" s="7">
        <v>91</v>
      </c>
      <c r="Z84" s="7">
        <v>93.2</v>
      </c>
      <c r="AA84" s="7">
        <f t="shared" si="34"/>
        <v>1.8000000000000007</v>
      </c>
      <c r="AB84" s="8">
        <f t="shared" si="35"/>
        <v>2.2000000000000028</v>
      </c>
      <c r="AG84" s="6"/>
      <c r="AH84" s="7">
        <v>8.8000000000000007</v>
      </c>
      <c r="AI84" s="7"/>
      <c r="AJ84" s="7">
        <v>91</v>
      </c>
      <c r="AK84" s="7">
        <v>116.6</v>
      </c>
      <c r="AL84" s="7">
        <f t="shared" si="36"/>
        <v>8.8000000000000007</v>
      </c>
      <c r="AM84" s="8">
        <f t="shared" si="37"/>
        <v>25.599999999999994</v>
      </c>
      <c r="AR84" s="6"/>
      <c r="AS84" s="7">
        <v>8.8000000000000007</v>
      </c>
      <c r="AT84" s="7">
        <v>7.1</v>
      </c>
      <c r="AU84" s="7">
        <v>91</v>
      </c>
      <c r="AV84" s="7">
        <v>88.8</v>
      </c>
      <c r="AW84" s="7">
        <f t="shared" si="38"/>
        <v>1.7000000000000011</v>
      </c>
      <c r="AX84" s="8">
        <f t="shared" si="39"/>
        <v>2.2000000000000028</v>
      </c>
    </row>
    <row r="85" spans="2:50" x14ac:dyDescent="0.25">
      <c r="B85" s="3" t="s">
        <v>32</v>
      </c>
      <c r="C85" s="4">
        <v>16</v>
      </c>
      <c r="D85" s="4">
        <v>15.6</v>
      </c>
      <c r="E85" s="4">
        <v>93</v>
      </c>
      <c r="F85" s="4">
        <v>95.7</v>
      </c>
      <c r="G85" s="4">
        <f t="shared" ref="G85:G117" si="40">ABS(C85-D85)</f>
        <v>0.40000000000000036</v>
      </c>
      <c r="H85" s="5">
        <f t="shared" ref="H85:H117" si="41">ABS(E85-F85)</f>
        <v>2.7000000000000028</v>
      </c>
      <c r="L85" s="3" t="s">
        <v>32</v>
      </c>
      <c r="M85" s="4">
        <v>16</v>
      </c>
      <c r="N85" s="4">
        <v>15.2</v>
      </c>
      <c r="O85" s="4">
        <v>93</v>
      </c>
      <c r="P85" s="4">
        <v>106</v>
      </c>
      <c r="Q85" s="4">
        <f t="shared" ref="Q85:Q117" si="42">ABS(M85-N85)</f>
        <v>0.80000000000000071</v>
      </c>
      <c r="R85" s="5">
        <f t="shared" ref="R85:R117" si="43">ABS(O85-P85)</f>
        <v>13</v>
      </c>
      <c r="V85" s="3" t="s">
        <v>32</v>
      </c>
      <c r="W85" s="4">
        <v>16</v>
      </c>
      <c r="X85" s="4">
        <v>15.2</v>
      </c>
      <c r="Y85" s="4">
        <v>93</v>
      </c>
      <c r="Z85" s="4">
        <v>106.6</v>
      </c>
      <c r="AA85" s="4">
        <f t="shared" ref="AA85:AA117" si="44">ABS(W85-X85)</f>
        <v>0.80000000000000071</v>
      </c>
      <c r="AB85" s="5">
        <f t="shared" ref="AB85:AB117" si="45">ABS(Y85-Z85)</f>
        <v>13.599999999999994</v>
      </c>
      <c r="AG85" s="3" t="s">
        <v>32</v>
      </c>
      <c r="AH85" s="4">
        <v>16</v>
      </c>
      <c r="AI85" s="4"/>
      <c r="AJ85" s="4">
        <v>93</v>
      </c>
      <c r="AK85" s="4">
        <v>133</v>
      </c>
      <c r="AL85" s="4">
        <f t="shared" ref="AL85:AL117" si="46">ABS(AH85-AI85)</f>
        <v>16</v>
      </c>
      <c r="AM85" s="5">
        <f t="shared" ref="AM85:AM117" si="47">ABS(AJ85-AK85)</f>
        <v>40</v>
      </c>
      <c r="AR85" s="3" t="s">
        <v>32</v>
      </c>
      <c r="AS85" s="4">
        <v>16</v>
      </c>
      <c r="AT85" s="4">
        <v>15.2</v>
      </c>
      <c r="AU85" s="4">
        <v>93</v>
      </c>
      <c r="AV85" s="4">
        <v>107.3</v>
      </c>
      <c r="AW85" s="4">
        <f t="shared" ref="AW85:AW117" si="48">ABS(AS85-AT85)</f>
        <v>0.80000000000000071</v>
      </c>
      <c r="AX85" s="5">
        <f t="shared" ref="AX85:AX117" si="49">ABS(AU85-AV85)</f>
        <v>14.299999999999997</v>
      </c>
    </row>
    <row r="86" spans="2:50" x14ac:dyDescent="0.25">
      <c r="B86" s="12"/>
      <c r="C86">
        <v>11.6</v>
      </c>
      <c r="D86">
        <v>10.8</v>
      </c>
      <c r="E86">
        <v>69</v>
      </c>
      <c r="F86">
        <v>64</v>
      </c>
      <c r="G86">
        <f t="shared" si="40"/>
        <v>0.79999999999999893</v>
      </c>
      <c r="H86" s="13">
        <f t="shared" si="41"/>
        <v>5</v>
      </c>
      <c r="L86" s="12"/>
      <c r="M86">
        <v>11.6</v>
      </c>
      <c r="N86">
        <v>10.5</v>
      </c>
      <c r="O86">
        <v>69</v>
      </c>
      <c r="P86">
        <v>80</v>
      </c>
      <c r="Q86">
        <f t="shared" si="42"/>
        <v>1.0999999999999996</v>
      </c>
      <c r="R86" s="13">
        <f t="shared" si="43"/>
        <v>11</v>
      </c>
      <c r="V86" s="12"/>
      <c r="W86">
        <v>11.6</v>
      </c>
      <c r="X86">
        <v>10.5</v>
      </c>
      <c r="Y86">
        <v>69</v>
      </c>
      <c r="Z86">
        <v>83.2</v>
      </c>
      <c r="AA86">
        <f t="shared" si="44"/>
        <v>1.0999999999999996</v>
      </c>
      <c r="AB86" s="13">
        <f t="shared" si="45"/>
        <v>14.200000000000003</v>
      </c>
      <c r="AG86" s="12"/>
      <c r="AH86">
        <v>11.6</v>
      </c>
      <c r="AJ86">
        <v>69</v>
      </c>
      <c r="AK86">
        <v>74.5</v>
      </c>
      <c r="AL86">
        <f t="shared" si="46"/>
        <v>11.6</v>
      </c>
      <c r="AM86" s="13">
        <f t="shared" si="47"/>
        <v>5.5</v>
      </c>
      <c r="AR86" s="12"/>
      <c r="AS86">
        <v>11.6</v>
      </c>
      <c r="AT86">
        <v>11</v>
      </c>
      <c r="AU86">
        <v>69</v>
      </c>
      <c r="AV86">
        <v>55.8</v>
      </c>
      <c r="AW86">
        <f t="shared" si="48"/>
        <v>0.59999999999999964</v>
      </c>
      <c r="AX86" s="13">
        <f t="shared" si="49"/>
        <v>13.200000000000003</v>
      </c>
    </row>
    <row r="87" spans="2:50" x14ac:dyDescent="0.25">
      <c r="B87" s="6"/>
      <c r="C87" s="7">
        <v>12.4</v>
      </c>
      <c r="D87" s="7">
        <v>12.2</v>
      </c>
      <c r="E87" s="7">
        <v>77</v>
      </c>
      <c r="F87" s="7">
        <v>65.8</v>
      </c>
      <c r="G87" s="7">
        <f t="shared" si="40"/>
        <v>0.20000000000000107</v>
      </c>
      <c r="H87" s="8">
        <f t="shared" si="41"/>
        <v>11.200000000000003</v>
      </c>
      <c r="L87" s="6"/>
      <c r="M87" s="7">
        <v>12.4</v>
      </c>
      <c r="N87" s="7">
        <v>12.9</v>
      </c>
      <c r="O87" s="7">
        <v>77</v>
      </c>
      <c r="P87" s="7">
        <v>72</v>
      </c>
      <c r="Q87" s="7">
        <f t="shared" si="42"/>
        <v>0.5</v>
      </c>
      <c r="R87" s="8">
        <f t="shared" si="43"/>
        <v>5</v>
      </c>
      <c r="V87" s="6"/>
      <c r="W87" s="7">
        <v>12.4</v>
      </c>
      <c r="X87" s="7">
        <v>12.8</v>
      </c>
      <c r="Y87" s="7">
        <v>77</v>
      </c>
      <c r="Z87" s="7">
        <v>92</v>
      </c>
      <c r="AA87" s="7">
        <f t="shared" si="44"/>
        <v>0.40000000000000036</v>
      </c>
      <c r="AB87" s="8">
        <f t="shared" si="45"/>
        <v>15</v>
      </c>
      <c r="AG87" s="6"/>
      <c r="AH87" s="7">
        <v>12.4</v>
      </c>
      <c r="AI87" s="7"/>
      <c r="AJ87" s="7">
        <v>77</v>
      </c>
      <c r="AK87" s="7">
        <v>67.5</v>
      </c>
      <c r="AL87" s="7">
        <f t="shared" si="46"/>
        <v>12.4</v>
      </c>
      <c r="AM87" s="8">
        <f t="shared" si="47"/>
        <v>9.5</v>
      </c>
      <c r="AR87" s="6"/>
      <c r="AS87" s="7">
        <v>12.4</v>
      </c>
      <c r="AT87" s="7">
        <v>12.2</v>
      </c>
      <c r="AU87" s="7">
        <v>77</v>
      </c>
      <c r="AV87" s="7">
        <v>66.2</v>
      </c>
      <c r="AW87" s="7">
        <f t="shared" si="48"/>
        <v>0.20000000000000107</v>
      </c>
      <c r="AX87" s="8">
        <f t="shared" si="49"/>
        <v>10.799999999999997</v>
      </c>
    </row>
    <row r="88" spans="2:50" x14ac:dyDescent="0.25">
      <c r="B88" s="3" t="s">
        <v>33</v>
      </c>
      <c r="C88" s="4">
        <v>10.4</v>
      </c>
      <c r="D88" s="4">
        <v>10.1</v>
      </c>
      <c r="E88" s="4">
        <v>75</v>
      </c>
      <c r="F88" s="4">
        <v>67.2</v>
      </c>
      <c r="G88" s="4">
        <f t="shared" si="40"/>
        <v>0.30000000000000071</v>
      </c>
      <c r="H88" s="5">
        <f t="shared" si="41"/>
        <v>7.7999999999999972</v>
      </c>
      <c r="L88" s="3" t="s">
        <v>33</v>
      </c>
      <c r="M88" s="4">
        <v>10.4</v>
      </c>
      <c r="N88" s="4">
        <v>10</v>
      </c>
      <c r="O88" s="4">
        <v>75</v>
      </c>
      <c r="P88" s="4">
        <v>67.599999999999994</v>
      </c>
      <c r="Q88" s="4">
        <f t="shared" si="42"/>
        <v>0.40000000000000036</v>
      </c>
      <c r="R88" s="5">
        <f t="shared" si="43"/>
        <v>7.4000000000000057</v>
      </c>
      <c r="V88" s="3" t="s">
        <v>33</v>
      </c>
      <c r="W88" s="4">
        <v>10.4</v>
      </c>
      <c r="X88" s="4">
        <v>10.5</v>
      </c>
      <c r="Y88" s="4">
        <v>75</v>
      </c>
      <c r="Z88" s="4">
        <v>76.599999999999994</v>
      </c>
      <c r="AA88" s="4">
        <f t="shared" si="44"/>
        <v>9.9999999999999645E-2</v>
      </c>
      <c r="AB88" s="5">
        <f t="shared" si="45"/>
        <v>1.5999999999999943</v>
      </c>
      <c r="AG88" s="3" t="s">
        <v>33</v>
      </c>
      <c r="AH88" s="4">
        <v>10.4</v>
      </c>
      <c r="AI88" s="4"/>
      <c r="AJ88" s="4">
        <v>75</v>
      </c>
      <c r="AK88" s="4">
        <v>71</v>
      </c>
      <c r="AL88" s="4">
        <f t="shared" si="46"/>
        <v>10.4</v>
      </c>
      <c r="AM88" s="5">
        <f t="shared" si="47"/>
        <v>4</v>
      </c>
      <c r="AR88" s="3" t="s">
        <v>33</v>
      </c>
      <c r="AS88" s="4">
        <v>10.4</v>
      </c>
      <c r="AT88" s="4">
        <v>10.199999999999999</v>
      </c>
      <c r="AU88" s="4">
        <v>75</v>
      </c>
      <c r="AV88" s="4">
        <v>69</v>
      </c>
      <c r="AW88" s="4">
        <f t="shared" si="48"/>
        <v>0.20000000000000107</v>
      </c>
      <c r="AX88" s="5">
        <f t="shared" si="49"/>
        <v>6</v>
      </c>
    </row>
    <row r="89" spans="2:50" x14ac:dyDescent="0.25">
      <c r="B89" s="12"/>
      <c r="C89">
        <v>9.6</v>
      </c>
      <c r="D89">
        <v>8.9</v>
      </c>
      <c r="E89">
        <v>92</v>
      </c>
      <c r="F89">
        <v>82.3</v>
      </c>
      <c r="G89">
        <f t="shared" si="40"/>
        <v>0.69999999999999929</v>
      </c>
      <c r="H89" s="13">
        <f t="shared" si="41"/>
        <v>9.7000000000000028</v>
      </c>
      <c r="L89" s="12"/>
      <c r="M89">
        <v>9.6</v>
      </c>
      <c r="N89">
        <v>9.5</v>
      </c>
      <c r="O89">
        <v>92</v>
      </c>
      <c r="P89">
        <v>98</v>
      </c>
      <c r="Q89">
        <f t="shared" si="42"/>
        <v>9.9999999999999645E-2</v>
      </c>
      <c r="R89" s="13">
        <f t="shared" si="43"/>
        <v>6</v>
      </c>
      <c r="V89" s="12"/>
      <c r="W89">
        <v>9.6</v>
      </c>
      <c r="X89">
        <v>8.1999999999999993</v>
      </c>
      <c r="Y89">
        <v>92</v>
      </c>
      <c r="Z89">
        <v>96.4</v>
      </c>
      <c r="AA89">
        <f t="shared" si="44"/>
        <v>1.4000000000000004</v>
      </c>
      <c r="AB89" s="13">
        <f t="shared" si="45"/>
        <v>4.4000000000000057</v>
      </c>
      <c r="AG89" s="12"/>
      <c r="AH89">
        <v>9.6</v>
      </c>
      <c r="AJ89">
        <v>92</v>
      </c>
      <c r="AK89">
        <v>78.3</v>
      </c>
      <c r="AL89">
        <f t="shared" si="46"/>
        <v>9.6</v>
      </c>
      <c r="AM89" s="13">
        <f t="shared" si="47"/>
        <v>13.700000000000003</v>
      </c>
      <c r="AR89" s="12"/>
      <c r="AS89">
        <v>9.6</v>
      </c>
      <c r="AT89">
        <v>8.5</v>
      </c>
      <c r="AU89">
        <v>92</v>
      </c>
      <c r="AV89">
        <v>97.4</v>
      </c>
      <c r="AW89">
        <f t="shared" si="48"/>
        <v>1.0999999999999996</v>
      </c>
      <c r="AX89" s="13">
        <f t="shared" si="49"/>
        <v>5.4000000000000057</v>
      </c>
    </row>
    <row r="90" spans="2:50" x14ac:dyDescent="0.25">
      <c r="B90" s="6"/>
      <c r="C90" s="7">
        <v>10.4</v>
      </c>
      <c r="D90" s="7">
        <v>9.6999999999999993</v>
      </c>
      <c r="E90" s="7">
        <v>72</v>
      </c>
      <c r="F90" s="7">
        <v>65.5</v>
      </c>
      <c r="G90" s="7">
        <f t="shared" si="40"/>
        <v>0.70000000000000107</v>
      </c>
      <c r="H90" s="8">
        <f t="shared" si="41"/>
        <v>6.5</v>
      </c>
      <c r="L90" s="6"/>
      <c r="M90" s="7">
        <v>10.4</v>
      </c>
      <c r="N90" s="7">
        <v>9.8000000000000007</v>
      </c>
      <c r="O90" s="7">
        <v>72</v>
      </c>
      <c r="P90" s="7">
        <v>72</v>
      </c>
      <c r="Q90" s="7">
        <f t="shared" si="42"/>
        <v>0.59999999999999964</v>
      </c>
      <c r="R90" s="8">
        <f t="shared" si="43"/>
        <v>0</v>
      </c>
      <c r="V90" s="6"/>
      <c r="W90" s="7">
        <v>10.4</v>
      </c>
      <c r="X90" s="7">
        <v>9.4</v>
      </c>
      <c r="Y90" s="7">
        <v>72</v>
      </c>
      <c r="Z90" s="7">
        <v>82.9</v>
      </c>
      <c r="AA90" s="7">
        <f t="shared" si="44"/>
        <v>1</v>
      </c>
      <c r="AB90" s="8">
        <f t="shared" si="45"/>
        <v>10.900000000000006</v>
      </c>
      <c r="AG90" s="6"/>
      <c r="AH90" s="7">
        <v>10.4</v>
      </c>
      <c r="AI90" s="7"/>
      <c r="AJ90" s="7">
        <v>72</v>
      </c>
      <c r="AK90" s="7">
        <v>159</v>
      </c>
      <c r="AL90" s="7">
        <f t="shared" si="46"/>
        <v>10.4</v>
      </c>
      <c r="AM90" s="8">
        <f t="shared" si="47"/>
        <v>87</v>
      </c>
      <c r="AR90" s="6"/>
      <c r="AS90" s="7">
        <v>10.4</v>
      </c>
      <c r="AT90" s="7">
        <v>9.6</v>
      </c>
      <c r="AU90" s="7">
        <v>72</v>
      </c>
      <c r="AV90" s="7">
        <v>84.6</v>
      </c>
      <c r="AW90" s="7">
        <f t="shared" si="48"/>
        <v>0.80000000000000071</v>
      </c>
      <c r="AX90" s="8">
        <f t="shared" si="49"/>
        <v>12.599999999999994</v>
      </c>
    </row>
    <row r="91" spans="2:50" x14ac:dyDescent="0.25">
      <c r="B91" s="3" t="s">
        <v>34</v>
      </c>
      <c r="C91" s="4">
        <v>10.4</v>
      </c>
      <c r="D91" s="4">
        <v>9.1999999999999993</v>
      </c>
      <c r="E91" s="4">
        <v>95</v>
      </c>
      <c r="F91" s="4">
        <v>81.2</v>
      </c>
      <c r="G91" s="4">
        <f t="shared" si="40"/>
        <v>1.2000000000000011</v>
      </c>
      <c r="H91" s="5">
        <f t="shared" si="41"/>
        <v>13.799999999999997</v>
      </c>
      <c r="L91" s="3" t="s">
        <v>34</v>
      </c>
      <c r="M91" s="4">
        <v>10.4</v>
      </c>
      <c r="N91" s="4">
        <v>9.9</v>
      </c>
      <c r="O91" s="4">
        <v>95</v>
      </c>
      <c r="P91" s="4">
        <v>64.8</v>
      </c>
      <c r="Q91" s="4">
        <f t="shared" si="42"/>
        <v>0.5</v>
      </c>
      <c r="R91" s="5">
        <f t="shared" si="43"/>
        <v>30.200000000000003</v>
      </c>
      <c r="V91" s="3" t="s">
        <v>34</v>
      </c>
      <c r="W91" s="4">
        <v>10.4</v>
      </c>
      <c r="X91" s="4">
        <v>10.3</v>
      </c>
      <c r="Y91" s="4">
        <v>95</v>
      </c>
      <c r="Z91" s="4">
        <v>95.8</v>
      </c>
      <c r="AA91" s="4">
        <f t="shared" si="44"/>
        <v>9.9999999999999645E-2</v>
      </c>
      <c r="AB91" s="5">
        <f t="shared" si="45"/>
        <v>0.79999999999999716</v>
      </c>
      <c r="AG91" s="3" t="s">
        <v>34</v>
      </c>
      <c r="AH91" s="4">
        <v>10.4</v>
      </c>
      <c r="AI91" s="4"/>
      <c r="AJ91" s="4">
        <v>95</v>
      </c>
      <c r="AK91" s="4">
        <v>76.3</v>
      </c>
      <c r="AL91" s="4">
        <f t="shared" si="46"/>
        <v>10.4</v>
      </c>
      <c r="AM91" s="5">
        <f t="shared" si="47"/>
        <v>18.700000000000003</v>
      </c>
      <c r="AR91" s="3" t="s">
        <v>34</v>
      </c>
      <c r="AS91" s="4">
        <v>10.4</v>
      </c>
      <c r="AT91" s="4">
        <v>10</v>
      </c>
      <c r="AU91" s="4">
        <v>95</v>
      </c>
      <c r="AV91" s="4">
        <v>88.5</v>
      </c>
      <c r="AW91" s="4">
        <f t="shared" si="48"/>
        <v>0.40000000000000036</v>
      </c>
      <c r="AX91" s="5">
        <f t="shared" si="49"/>
        <v>6.5</v>
      </c>
    </row>
    <row r="92" spans="2:50" x14ac:dyDescent="0.25">
      <c r="B92" s="12"/>
      <c r="C92">
        <v>10.4</v>
      </c>
      <c r="D92">
        <v>10.4</v>
      </c>
      <c r="E92">
        <v>72</v>
      </c>
      <c r="F92">
        <v>72.8</v>
      </c>
      <c r="G92">
        <f t="shared" si="40"/>
        <v>0</v>
      </c>
      <c r="H92" s="13">
        <f t="shared" si="41"/>
        <v>0.79999999999999716</v>
      </c>
      <c r="L92" s="12"/>
      <c r="M92">
        <v>10.4</v>
      </c>
      <c r="N92">
        <v>9.6999999999999993</v>
      </c>
      <c r="O92">
        <v>72</v>
      </c>
      <c r="P92">
        <v>64.400000000000006</v>
      </c>
      <c r="Q92">
        <f t="shared" si="42"/>
        <v>0.70000000000000107</v>
      </c>
      <c r="R92" s="13">
        <f t="shared" si="43"/>
        <v>7.5999999999999943</v>
      </c>
      <c r="V92" s="12"/>
      <c r="W92">
        <v>10.4</v>
      </c>
      <c r="X92">
        <v>9.4</v>
      </c>
      <c r="Y92">
        <v>72</v>
      </c>
      <c r="Z92">
        <v>92.3</v>
      </c>
      <c r="AA92">
        <f t="shared" si="44"/>
        <v>1</v>
      </c>
      <c r="AB92" s="13">
        <f t="shared" si="45"/>
        <v>20.299999999999997</v>
      </c>
      <c r="AG92" s="12"/>
      <c r="AH92">
        <v>10.4</v>
      </c>
      <c r="AJ92">
        <v>72</v>
      </c>
      <c r="AK92">
        <v>72</v>
      </c>
      <c r="AL92">
        <f t="shared" si="46"/>
        <v>10.4</v>
      </c>
      <c r="AM92" s="13">
        <f t="shared" si="47"/>
        <v>0</v>
      </c>
      <c r="AR92" s="12"/>
      <c r="AS92">
        <v>10.4</v>
      </c>
      <c r="AT92">
        <v>10</v>
      </c>
      <c r="AU92">
        <v>72</v>
      </c>
      <c r="AV92">
        <v>74.900000000000006</v>
      </c>
      <c r="AW92">
        <f t="shared" si="48"/>
        <v>0.40000000000000036</v>
      </c>
      <c r="AX92" s="13">
        <f t="shared" si="49"/>
        <v>2.9000000000000057</v>
      </c>
    </row>
    <row r="93" spans="2:50" x14ac:dyDescent="0.25">
      <c r="B93" s="6"/>
      <c r="C93" s="7">
        <v>11.2</v>
      </c>
      <c r="D93">
        <v>10.9</v>
      </c>
      <c r="E93" s="7">
        <v>79</v>
      </c>
      <c r="F93" s="7">
        <v>69</v>
      </c>
      <c r="G93" s="7">
        <f t="shared" si="40"/>
        <v>0.29999999999999893</v>
      </c>
      <c r="H93" s="8">
        <f t="shared" si="41"/>
        <v>10</v>
      </c>
      <c r="L93" s="6"/>
      <c r="M93" s="7">
        <v>11.2</v>
      </c>
      <c r="N93">
        <v>10.3</v>
      </c>
      <c r="O93" s="7">
        <v>79</v>
      </c>
      <c r="P93" s="7">
        <v>75.5</v>
      </c>
      <c r="Q93" s="7">
        <f t="shared" si="42"/>
        <v>0.89999999999999858</v>
      </c>
      <c r="R93" s="8">
        <f t="shared" si="43"/>
        <v>3.5</v>
      </c>
      <c r="V93" s="6"/>
      <c r="W93" s="7">
        <v>11.2</v>
      </c>
      <c r="X93">
        <v>10.5</v>
      </c>
      <c r="Y93" s="7">
        <v>79</v>
      </c>
      <c r="Z93" s="7">
        <v>81.7</v>
      </c>
      <c r="AA93" s="7">
        <f t="shared" si="44"/>
        <v>0.69999999999999929</v>
      </c>
      <c r="AB93" s="8">
        <f t="shared" si="45"/>
        <v>2.7000000000000028</v>
      </c>
      <c r="AG93" s="6"/>
      <c r="AH93" s="7">
        <v>11.2</v>
      </c>
      <c r="AJ93" s="7">
        <v>79</v>
      </c>
      <c r="AK93" s="7">
        <v>121</v>
      </c>
      <c r="AL93" s="7">
        <f t="shared" si="46"/>
        <v>11.2</v>
      </c>
      <c r="AM93" s="8">
        <f t="shared" si="47"/>
        <v>42</v>
      </c>
      <c r="AR93" s="6"/>
      <c r="AS93" s="7">
        <v>11.2</v>
      </c>
      <c r="AT93">
        <v>11.2</v>
      </c>
      <c r="AU93" s="7">
        <v>79</v>
      </c>
      <c r="AV93" s="7">
        <v>67.3</v>
      </c>
      <c r="AW93" s="7">
        <f t="shared" si="48"/>
        <v>0</v>
      </c>
      <c r="AX93" s="8">
        <f t="shared" si="49"/>
        <v>11.700000000000003</v>
      </c>
    </row>
    <row r="94" spans="2:50" x14ac:dyDescent="0.25">
      <c r="B94" s="3" t="s">
        <v>35</v>
      </c>
      <c r="C94" s="4">
        <v>10</v>
      </c>
      <c r="D94" s="4">
        <v>8.6</v>
      </c>
      <c r="E94" s="4">
        <v>75</v>
      </c>
      <c r="F94" s="4">
        <v>76.400000000000006</v>
      </c>
      <c r="G94" s="4">
        <f t="shared" si="40"/>
        <v>1.4000000000000004</v>
      </c>
      <c r="H94" s="5">
        <f t="shared" si="41"/>
        <v>1.4000000000000057</v>
      </c>
      <c r="L94" s="3" t="s">
        <v>35</v>
      </c>
      <c r="M94" s="4">
        <v>10</v>
      </c>
      <c r="N94" s="4">
        <v>9.5</v>
      </c>
      <c r="O94" s="4">
        <v>75</v>
      </c>
      <c r="P94" s="4">
        <v>89.2</v>
      </c>
      <c r="Q94" s="4">
        <f t="shared" si="42"/>
        <v>0.5</v>
      </c>
      <c r="R94" s="5">
        <f t="shared" si="43"/>
        <v>14.200000000000003</v>
      </c>
      <c r="V94" s="3" t="s">
        <v>35</v>
      </c>
      <c r="W94" s="4">
        <v>10</v>
      </c>
      <c r="X94" s="4">
        <v>8.1999999999999993</v>
      </c>
      <c r="Y94" s="4">
        <v>75</v>
      </c>
      <c r="Z94" s="4">
        <v>91.7</v>
      </c>
      <c r="AA94" s="4">
        <f t="shared" si="44"/>
        <v>1.8000000000000007</v>
      </c>
      <c r="AB94" s="5">
        <f t="shared" si="45"/>
        <v>16.700000000000003</v>
      </c>
      <c r="AG94" s="3" t="s">
        <v>35</v>
      </c>
      <c r="AH94" s="4">
        <v>10</v>
      </c>
      <c r="AI94" s="4"/>
      <c r="AJ94" s="4">
        <v>75</v>
      </c>
      <c r="AK94" s="4">
        <v>111</v>
      </c>
      <c r="AL94" s="4">
        <f t="shared" si="46"/>
        <v>10</v>
      </c>
      <c r="AM94" s="5">
        <f t="shared" si="47"/>
        <v>36</v>
      </c>
      <c r="AR94" s="3" t="s">
        <v>35</v>
      </c>
      <c r="AS94" s="4">
        <v>10</v>
      </c>
      <c r="AT94" s="4">
        <v>9.4</v>
      </c>
      <c r="AU94" s="4">
        <v>75</v>
      </c>
      <c r="AV94" s="4">
        <v>72.599999999999994</v>
      </c>
      <c r="AW94" s="4">
        <f t="shared" si="48"/>
        <v>0.59999999999999964</v>
      </c>
      <c r="AX94" s="5">
        <f t="shared" si="49"/>
        <v>2.4000000000000057</v>
      </c>
    </row>
    <row r="95" spans="2:50" x14ac:dyDescent="0.25">
      <c r="B95" s="12"/>
      <c r="C95">
        <v>10</v>
      </c>
      <c r="D95">
        <v>10</v>
      </c>
      <c r="E95">
        <v>67</v>
      </c>
      <c r="F95">
        <v>78.099999999999994</v>
      </c>
      <c r="G95">
        <f t="shared" si="40"/>
        <v>0</v>
      </c>
      <c r="H95" s="13">
        <f t="shared" si="41"/>
        <v>11.099999999999994</v>
      </c>
      <c r="L95" s="12"/>
      <c r="M95">
        <v>10</v>
      </c>
      <c r="N95">
        <v>10</v>
      </c>
      <c r="O95">
        <v>67</v>
      </c>
      <c r="P95">
        <v>52.8</v>
      </c>
      <c r="Q95">
        <f t="shared" si="42"/>
        <v>0</v>
      </c>
      <c r="R95" s="13">
        <f t="shared" si="43"/>
        <v>14.200000000000003</v>
      </c>
      <c r="V95" s="12"/>
      <c r="W95">
        <v>10</v>
      </c>
      <c r="X95">
        <v>10.5</v>
      </c>
      <c r="Y95">
        <v>67</v>
      </c>
      <c r="Z95">
        <v>90.8</v>
      </c>
      <c r="AA95">
        <f t="shared" si="44"/>
        <v>0.5</v>
      </c>
      <c r="AB95" s="13">
        <f t="shared" si="45"/>
        <v>23.799999999999997</v>
      </c>
      <c r="AG95" s="12"/>
      <c r="AH95">
        <v>10</v>
      </c>
      <c r="AJ95">
        <v>67</v>
      </c>
      <c r="AK95">
        <v>69.599999999999994</v>
      </c>
      <c r="AL95">
        <f t="shared" si="46"/>
        <v>10</v>
      </c>
      <c r="AM95" s="13">
        <f t="shared" si="47"/>
        <v>2.5999999999999943</v>
      </c>
      <c r="AR95" s="12"/>
      <c r="AS95">
        <v>10</v>
      </c>
      <c r="AT95">
        <v>10.199999999999999</v>
      </c>
      <c r="AU95">
        <v>67</v>
      </c>
      <c r="AV95">
        <v>67.099999999999994</v>
      </c>
      <c r="AW95">
        <f t="shared" si="48"/>
        <v>0.19999999999999929</v>
      </c>
      <c r="AX95" s="13">
        <f t="shared" si="49"/>
        <v>9.9999999999994316E-2</v>
      </c>
    </row>
    <row r="96" spans="2:50" x14ac:dyDescent="0.25">
      <c r="B96" s="6"/>
      <c r="C96" s="7">
        <v>10.4</v>
      </c>
      <c r="D96" s="7">
        <v>9.6</v>
      </c>
      <c r="E96" s="7">
        <v>91</v>
      </c>
      <c r="F96" s="7">
        <v>71</v>
      </c>
      <c r="G96">
        <f t="shared" si="40"/>
        <v>0.80000000000000071</v>
      </c>
      <c r="H96" s="13">
        <f t="shared" si="41"/>
        <v>20</v>
      </c>
      <c r="L96" s="6"/>
      <c r="M96" s="7">
        <v>10.4</v>
      </c>
      <c r="N96" s="7">
        <v>9.6</v>
      </c>
      <c r="O96" s="7">
        <v>91</v>
      </c>
      <c r="P96" s="7">
        <v>61.2</v>
      </c>
      <c r="Q96" s="7">
        <f t="shared" si="42"/>
        <v>0.80000000000000071</v>
      </c>
      <c r="R96" s="8">
        <f t="shared" si="43"/>
        <v>29.799999999999997</v>
      </c>
      <c r="V96" s="6"/>
      <c r="W96" s="7">
        <v>10.4</v>
      </c>
      <c r="X96" s="7">
        <v>8.8000000000000007</v>
      </c>
      <c r="Y96" s="7">
        <v>91</v>
      </c>
      <c r="Z96" s="7">
        <v>93.5</v>
      </c>
      <c r="AA96" s="7">
        <f t="shared" si="44"/>
        <v>1.5999999999999996</v>
      </c>
      <c r="AB96" s="8">
        <f t="shared" si="45"/>
        <v>2.5</v>
      </c>
      <c r="AG96" s="6"/>
      <c r="AH96" s="7">
        <v>10.4</v>
      </c>
      <c r="AI96" s="7"/>
      <c r="AJ96" s="7">
        <v>91</v>
      </c>
      <c r="AK96" s="7">
        <v>163</v>
      </c>
      <c r="AL96" s="7">
        <f t="shared" si="46"/>
        <v>10.4</v>
      </c>
      <c r="AM96" s="8">
        <f t="shared" si="47"/>
        <v>72</v>
      </c>
      <c r="AR96" s="6"/>
      <c r="AS96" s="7">
        <v>10.4</v>
      </c>
      <c r="AT96" s="7">
        <v>9.8000000000000007</v>
      </c>
      <c r="AU96" s="7">
        <v>91</v>
      </c>
      <c r="AV96" s="7">
        <v>75</v>
      </c>
      <c r="AW96" s="7">
        <f t="shared" si="48"/>
        <v>0.59999999999999964</v>
      </c>
      <c r="AX96" s="8">
        <f t="shared" si="49"/>
        <v>16</v>
      </c>
    </row>
    <row r="97" spans="2:50" x14ac:dyDescent="0.25">
      <c r="B97" s="3" t="s">
        <v>90</v>
      </c>
      <c r="C97" s="4">
        <v>8</v>
      </c>
      <c r="D97" s="4">
        <v>8</v>
      </c>
      <c r="E97" s="4">
        <v>90</v>
      </c>
      <c r="F97" s="4">
        <v>66.8</v>
      </c>
      <c r="G97" s="4">
        <f t="shared" si="40"/>
        <v>0</v>
      </c>
      <c r="H97" s="5">
        <f t="shared" si="41"/>
        <v>23.200000000000003</v>
      </c>
      <c r="L97" s="3" t="s">
        <v>90</v>
      </c>
      <c r="M97" s="4">
        <v>8</v>
      </c>
      <c r="N97" s="4">
        <v>9.5</v>
      </c>
      <c r="O97" s="4">
        <v>90</v>
      </c>
      <c r="P97" s="4">
        <v>60.4</v>
      </c>
      <c r="Q97" s="4">
        <f t="shared" si="42"/>
        <v>1.5</v>
      </c>
      <c r="R97" s="5">
        <f t="shared" si="43"/>
        <v>29.6</v>
      </c>
      <c r="V97" s="3" t="s">
        <v>90</v>
      </c>
      <c r="W97" s="4">
        <v>8</v>
      </c>
      <c r="X97" s="4">
        <v>7</v>
      </c>
      <c r="Y97" s="4">
        <v>90</v>
      </c>
      <c r="Z97" s="4">
        <v>95.8</v>
      </c>
      <c r="AA97" s="4">
        <f t="shared" si="44"/>
        <v>1</v>
      </c>
      <c r="AB97" s="5">
        <f t="shared" si="45"/>
        <v>5.7999999999999972</v>
      </c>
      <c r="AG97" s="3" t="s">
        <v>90</v>
      </c>
      <c r="AH97" s="4">
        <v>8</v>
      </c>
      <c r="AI97" s="4"/>
      <c r="AJ97" s="4">
        <v>90</v>
      </c>
      <c r="AK97" s="4">
        <v>67.3</v>
      </c>
      <c r="AL97" s="4">
        <f t="shared" si="46"/>
        <v>8</v>
      </c>
      <c r="AM97" s="5">
        <f t="shared" si="47"/>
        <v>22.700000000000003</v>
      </c>
      <c r="AR97" s="3" t="s">
        <v>90</v>
      </c>
      <c r="AS97" s="4">
        <v>8</v>
      </c>
      <c r="AT97" s="4">
        <v>8.5</v>
      </c>
      <c r="AU97" s="4">
        <v>90</v>
      </c>
      <c r="AV97" s="4">
        <v>62</v>
      </c>
      <c r="AW97" s="4">
        <f t="shared" si="48"/>
        <v>0.5</v>
      </c>
      <c r="AX97" s="5">
        <f t="shared" si="49"/>
        <v>28</v>
      </c>
    </row>
    <row r="98" spans="2:50" x14ac:dyDescent="0.25">
      <c r="B98" s="12"/>
      <c r="C98">
        <v>9.6</v>
      </c>
      <c r="D98">
        <v>8.8000000000000007</v>
      </c>
      <c r="E98">
        <v>67</v>
      </c>
      <c r="F98">
        <v>67</v>
      </c>
      <c r="G98">
        <f t="shared" si="40"/>
        <v>0.79999999999999893</v>
      </c>
      <c r="H98" s="13">
        <f t="shared" si="41"/>
        <v>0</v>
      </c>
      <c r="L98" s="12"/>
      <c r="M98">
        <v>9.6</v>
      </c>
      <c r="N98">
        <v>9.6</v>
      </c>
      <c r="O98">
        <v>67</v>
      </c>
      <c r="P98">
        <v>48.8</v>
      </c>
      <c r="Q98">
        <f t="shared" si="42"/>
        <v>0</v>
      </c>
      <c r="R98" s="13">
        <f t="shared" si="43"/>
        <v>18.200000000000003</v>
      </c>
      <c r="V98" s="12"/>
      <c r="W98">
        <v>9.6</v>
      </c>
      <c r="X98">
        <v>9.4</v>
      </c>
      <c r="Y98">
        <v>67</v>
      </c>
      <c r="Z98">
        <v>83.8</v>
      </c>
      <c r="AA98">
        <f t="shared" si="44"/>
        <v>0.19999999999999929</v>
      </c>
      <c r="AB98" s="13">
        <f t="shared" si="45"/>
        <v>16.799999999999997</v>
      </c>
      <c r="AG98" s="12"/>
      <c r="AH98">
        <v>9.6</v>
      </c>
      <c r="AJ98">
        <v>67</v>
      </c>
      <c r="AK98">
        <v>155</v>
      </c>
      <c r="AL98">
        <f t="shared" si="46"/>
        <v>9.6</v>
      </c>
      <c r="AM98" s="13">
        <f t="shared" si="47"/>
        <v>88</v>
      </c>
      <c r="AR98" s="12"/>
      <c r="AS98">
        <v>9.6</v>
      </c>
      <c r="AT98">
        <v>9.1999999999999993</v>
      </c>
      <c r="AU98">
        <v>67</v>
      </c>
      <c r="AV98">
        <v>69.400000000000006</v>
      </c>
      <c r="AW98">
        <f t="shared" si="48"/>
        <v>0.40000000000000036</v>
      </c>
      <c r="AX98" s="13">
        <f t="shared" si="49"/>
        <v>2.4000000000000057</v>
      </c>
    </row>
    <row r="99" spans="2:50" x14ac:dyDescent="0.25">
      <c r="B99" s="6"/>
      <c r="C99" s="7">
        <v>12.8</v>
      </c>
      <c r="D99" s="7">
        <v>10.5</v>
      </c>
      <c r="E99" s="7">
        <v>104</v>
      </c>
      <c r="F99" s="7">
        <v>93</v>
      </c>
      <c r="G99" s="7">
        <f t="shared" si="40"/>
        <v>2.3000000000000007</v>
      </c>
      <c r="H99" s="8">
        <f t="shared" si="41"/>
        <v>11</v>
      </c>
      <c r="L99" s="6"/>
      <c r="M99" s="7">
        <v>12.8</v>
      </c>
      <c r="N99" s="7">
        <v>10</v>
      </c>
      <c r="O99" s="7">
        <v>104</v>
      </c>
      <c r="P99" s="7">
        <v>103.6</v>
      </c>
      <c r="Q99" s="7">
        <f t="shared" si="42"/>
        <v>2.8000000000000007</v>
      </c>
      <c r="R99" s="8">
        <f t="shared" si="43"/>
        <v>0.40000000000000568</v>
      </c>
      <c r="V99" s="6"/>
      <c r="W99" s="7">
        <v>12.8</v>
      </c>
      <c r="X99" s="7">
        <v>10.5</v>
      </c>
      <c r="Y99" s="7">
        <v>104</v>
      </c>
      <c r="Z99" s="7">
        <v>96.7</v>
      </c>
      <c r="AA99" s="7">
        <f t="shared" si="44"/>
        <v>2.3000000000000007</v>
      </c>
      <c r="AB99" s="8">
        <f t="shared" si="45"/>
        <v>7.2999999999999972</v>
      </c>
      <c r="AG99" s="6"/>
      <c r="AH99" s="7">
        <v>12.8</v>
      </c>
      <c r="AI99" s="7"/>
      <c r="AJ99" s="7">
        <v>104</v>
      </c>
      <c r="AK99" s="7">
        <v>103.3</v>
      </c>
      <c r="AL99" s="7">
        <f t="shared" si="46"/>
        <v>12.8</v>
      </c>
      <c r="AM99" s="8">
        <f t="shared" si="47"/>
        <v>0.70000000000000284</v>
      </c>
      <c r="AR99" s="6"/>
      <c r="AS99" s="7">
        <v>12.8</v>
      </c>
      <c r="AT99" s="7">
        <v>12.3</v>
      </c>
      <c r="AU99" s="7">
        <v>104</v>
      </c>
      <c r="AV99" s="7">
        <v>90.2</v>
      </c>
      <c r="AW99" s="7">
        <f t="shared" si="48"/>
        <v>0.5</v>
      </c>
      <c r="AX99" s="8">
        <f t="shared" si="49"/>
        <v>13.799999999999997</v>
      </c>
    </row>
    <row r="100" spans="2:50" x14ac:dyDescent="0.25">
      <c r="B100" s="3" t="s">
        <v>91</v>
      </c>
      <c r="C100" s="4">
        <v>8</v>
      </c>
      <c r="D100" s="4">
        <v>8.5</v>
      </c>
      <c r="E100" s="4">
        <v>99</v>
      </c>
      <c r="F100" s="4">
        <v>87.8</v>
      </c>
      <c r="G100" s="4">
        <f t="shared" si="40"/>
        <v>0.5</v>
      </c>
      <c r="H100" s="5">
        <f t="shared" si="41"/>
        <v>11.200000000000003</v>
      </c>
      <c r="L100" s="3" t="s">
        <v>91</v>
      </c>
      <c r="M100" s="4">
        <v>8</v>
      </c>
      <c r="N100" s="4">
        <v>9.4</v>
      </c>
      <c r="O100" s="4">
        <v>99</v>
      </c>
      <c r="P100" s="4">
        <v>93.2</v>
      </c>
      <c r="Q100" s="4">
        <f t="shared" si="42"/>
        <v>1.4000000000000004</v>
      </c>
      <c r="R100" s="5">
        <f t="shared" si="43"/>
        <v>5.7999999999999972</v>
      </c>
      <c r="V100" s="3" t="s">
        <v>91</v>
      </c>
      <c r="W100" s="4">
        <v>8</v>
      </c>
      <c r="X100" s="4">
        <v>7.6</v>
      </c>
      <c r="Y100" s="4">
        <v>99</v>
      </c>
      <c r="Z100" s="4">
        <v>89.9</v>
      </c>
      <c r="AA100" s="4">
        <f t="shared" si="44"/>
        <v>0.40000000000000036</v>
      </c>
      <c r="AB100" s="5">
        <f t="shared" si="45"/>
        <v>9.0999999999999943</v>
      </c>
      <c r="AG100" s="3" t="s">
        <v>91</v>
      </c>
      <c r="AH100" s="4">
        <v>8</v>
      </c>
      <c r="AI100" s="4"/>
      <c r="AJ100" s="4">
        <v>99</v>
      </c>
      <c r="AK100" s="4">
        <v>93</v>
      </c>
      <c r="AL100" s="4">
        <f t="shared" si="46"/>
        <v>8</v>
      </c>
      <c r="AM100" s="5">
        <f t="shared" si="47"/>
        <v>6</v>
      </c>
      <c r="AR100" s="3" t="s">
        <v>91</v>
      </c>
      <c r="AS100" s="4">
        <v>8</v>
      </c>
      <c r="AT100" s="4">
        <v>9.1999999999999993</v>
      </c>
      <c r="AU100" s="4">
        <v>99</v>
      </c>
      <c r="AV100" s="4">
        <v>95.3</v>
      </c>
      <c r="AW100" s="4">
        <f t="shared" si="48"/>
        <v>1.1999999999999993</v>
      </c>
      <c r="AX100" s="5">
        <f t="shared" si="49"/>
        <v>3.7000000000000028</v>
      </c>
    </row>
    <row r="101" spans="2:50" x14ac:dyDescent="0.25">
      <c r="B101" s="12"/>
      <c r="C101">
        <v>8.8000000000000007</v>
      </c>
      <c r="D101">
        <v>8.6</v>
      </c>
      <c r="E101">
        <v>69</v>
      </c>
      <c r="F101">
        <v>82.1</v>
      </c>
      <c r="G101">
        <f t="shared" si="40"/>
        <v>0.20000000000000107</v>
      </c>
      <c r="H101" s="13">
        <f t="shared" si="41"/>
        <v>13.099999999999994</v>
      </c>
      <c r="L101" s="12"/>
      <c r="M101">
        <v>8.8000000000000007</v>
      </c>
      <c r="N101">
        <v>9.5</v>
      </c>
      <c r="O101">
        <v>69</v>
      </c>
      <c r="P101">
        <v>55.2</v>
      </c>
      <c r="Q101">
        <f t="shared" si="42"/>
        <v>0.69999999999999929</v>
      </c>
      <c r="R101" s="13">
        <f t="shared" si="43"/>
        <v>13.799999999999997</v>
      </c>
      <c r="V101" s="12"/>
      <c r="W101">
        <v>8.8000000000000007</v>
      </c>
      <c r="X101">
        <v>8.5</v>
      </c>
      <c r="Y101">
        <v>69</v>
      </c>
      <c r="Z101">
        <v>102</v>
      </c>
      <c r="AA101">
        <f t="shared" si="44"/>
        <v>0.30000000000000071</v>
      </c>
      <c r="AB101" s="13">
        <f t="shared" si="45"/>
        <v>33</v>
      </c>
      <c r="AG101" s="12"/>
      <c r="AH101">
        <v>8.8000000000000007</v>
      </c>
      <c r="AJ101">
        <v>69</v>
      </c>
      <c r="AK101">
        <v>123.3</v>
      </c>
      <c r="AL101">
        <f t="shared" si="46"/>
        <v>8.8000000000000007</v>
      </c>
      <c r="AM101" s="13">
        <f t="shared" si="47"/>
        <v>54.3</v>
      </c>
      <c r="AR101" s="12"/>
      <c r="AS101">
        <v>8.8000000000000007</v>
      </c>
      <c r="AT101">
        <v>9</v>
      </c>
      <c r="AU101">
        <v>69</v>
      </c>
      <c r="AV101">
        <v>63.2</v>
      </c>
      <c r="AW101">
        <f t="shared" si="48"/>
        <v>0.19999999999999929</v>
      </c>
      <c r="AX101" s="13">
        <f t="shared" si="49"/>
        <v>5.7999999999999972</v>
      </c>
    </row>
    <row r="102" spans="2:50" x14ac:dyDescent="0.25">
      <c r="B102" s="6"/>
      <c r="C102" s="7">
        <v>10.8</v>
      </c>
      <c r="D102" s="7">
        <v>10.1</v>
      </c>
      <c r="E102" s="7">
        <v>100</v>
      </c>
      <c r="F102" s="7">
        <v>85</v>
      </c>
      <c r="G102" s="7">
        <f t="shared" si="40"/>
        <v>0.70000000000000107</v>
      </c>
      <c r="H102" s="8">
        <f t="shared" si="41"/>
        <v>15</v>
      </c>
      <c r="L102" s="6"/>
      <c r="M102" s="7">
        <v>10.8</v>
      </c>
      <c r="N102" s="7">
        <v>10.1</v>
      </c>
      <c r="O102" s="7">
        <v>100</v>
      </c>
      <c r="P102" s="7">
        <v>100.4</v>
      </c>
      <c r="Q102" s="7">
        <f t="shared" si="42"/>
        <v>0.70000000000000107</v>
      </c>
      <c r="R102" s="8">
        <f>ABS(O102-P102)</f>
        <v>0.40000000000000568</v>
      </c>
      <c r="V102" s="6"/>
      <c r="W102" s="7">
        <v>10.8</v>
      </c>
      <c r="X102" s="7">
        <v>10.5</v>
      </c>
      <c r="Y102" s="7">
        <v>100</v>
      </c>
      <c r="Z102" s="7">
        <v>93.2</v>
      </c>
      <c r="AA102" s="7">
        <f t="shared" si="44"/>
        <v>0.30000000000000071</v>
      </c>
      <c r="AB102" s="8">
        <f t="shared" si="45"/>
        <v>6.7999999999999972</v>
      </c>
      <c r="AG102" s="6"/>
      <c r="AH102" s="7">
        <v>10.8</v>
      </c>
      <c r="AI102" s="7"/>
      <c r="AJ102" s="7">
        <v>100</v>
      </c>
      <c r="AK102" s="7">
        <v>103.3</v>
      </c>
      <c r="AL102" s="7">
        <f t="shared" si="46"/>
        <v>10.8</v>
      </c>
      <c r="AM102" s="8">
        <f t="shared" si="47"/>
        <v>3.2999999999999972</v>
      </c>
      <c r="AR102" s="6"/>
      <c r="AS102" s="7">
        <v>10.8</v>
      </c>
      <c r="AT102" s="7">
        <v>9.9</v>
      </c>
      <c r="AU102" s="7">
        <v>100</v>
      </c>
      <c r="AV102" s="7">
        <v>81.099999999999994</v>
      </c>
      <c r="AW102" s="7">
        <f t="shared" si="48"/>
        <v>0.90000000000000036</v>
      </c>
      <c r="AX102" s="8">
        <f t="shared" si="49"/>
        <v>18.900000000000006</v>
      </c>
    </row>
    <row r="103" spans="2:50" x14ac:dyDescent="0.25">
      <c r="B103" s="3" t="s">
        <v>92</v>
      </c>
      <c r="C103" s="4">
        <v>11.6</v>
      </c>
      <c r="D103" s="4">
        <v>9.9</v>
      </c>
      <c r="E103" s="4">
        <v>93</v>
      </c>
      <c r="F103" s="4">
        <v>76.400000000000006</v>
      </c>
      <c r="G103" s="4">
        <f t="shared" si="40"/>
        <v>1.6999999999999993</v>
      </c>
      <c r="H103" s="5">
        <f t="shared" si="41"/>
        <v>16.599999999999994</v>
      </c>
      <c r="L103" s="3" t="s">
        <v>92</v>
      </c>
      <c r="M103" s="4">
        <v>11.6</v>
      </c>
      <c r="N103" s="4">
        <v>9.8000000000000007</v>
      </c>
      <c r="O103" s="4">
        <v>93</v>
      </c>
      <c r="P103" s="4">
        <v>50</v>
      </c>
      <c r="Q103" s="4">
        <f t="shared" si="42"/>
        <v>1.7999999999999989</v>
      </c>
      <c r="R103" s="5">
        <f>ABS(O103-P103)</f>
        <v>43</v>
      </c>
      <c r="V103" s="3" t="s">
        <v>92</v>
      </c>
      <c r="W103" s="4">
        <v>11.6</v>
      </c>
      <c r="X103" s="4">
        <v>7.6</v>
      </c>
      <c r="Y103" s="4">
        <v>93</v>
      </c>
      <c r="Z103" s="4">
        <v>91.1</v>
      </c>
      <c r="AA103" s="4">
        <f t="shared" si="44"/>
        <v>4</v>
      </c>
      <c r="AB103" s="5">
        <f t="shared" si="45"/>
        <v>1.9000000000000057</v>
      </c>
      <c r="AG103" s="3" t="s">
        <v>92</v>
      </c>
      <c r="AH103" s="4">
        <v>11.6</v>
      </c>
      <c r="AI103" s="4"/>
      <c r="AJ103" s="4">
        <v>93</v>
      </c>
      <c r="AK103" s="4">
        <v>53.3</v>
      </c>
      <c r="AL103" s="4">
        <f t="shared" si="46"/>
        <v>11.6</v>
      </c>
      <c r="AM103" s="5">
        <f t="shared" si="47"/>
        <v>39.700000000000003</v>
      </c>
      <c r="AR103" s="3" t="s">
        <v>92</v>
      </c>
      <c r="AS103" s="4">
        <v>11.6</v>
      </c>
      <c r="AT103" s="4">
        <v>9.3000000000000007</v>
      </c>
      <c r="AU103" s="4">
        <v>93</v>
      </c>
      <c r="AV103" s="4">
        <v>88.2</v>
      </c>
      <c r="AW103" s="4">
        <f t="shared" si="48"/>
        <v>2.2999999999999989</v>
      </c>
      <c r="AX103" s="5">
        <f t="shared" si="49"/>
        <v>4.7999999999999972</v>
      </c>
    </row>
    <row r="104" spans="2:50" x14ac:dyDescent="0.25">
      <c r="B104" s="12"/>
      <c r="C104">
        <v>8.8000000000000007</v>
      </c>
      <c r="D104">
        <v>8.6999999999999993</v>
      </c>
      <c r="E104">
        <v>67</v>
      </c>
      <c r="F104">
        <v>72</v>
      </c>
      <c r="G104">
        <f t="shared" si="40"/>
        <v>0.10000000000000142</v>
      </c>
      <c r="H104" s="13">
        <f t="shared" si="41"/>
        <v>5</v>
      </c>
      <c r="L104" s="12"/>
      <c r="M104">
        <v>8.8000000000000007</v>
      </c>
      <c r="N104">
        <v>9.1</v>
      </c>
      <c r="O104">
        <v>67</v>
      </c>
      <c r="P104">
        <v>62.8</v>
      </c>
      <c r="Q104">
        <f t="shared" si="42"/>
        <v>0.29999999999999893</v>
      </c>
      <c r="R104" s="13">
        <f t="shared" si="43"/>
        <v>4.2000000000000028</v>
      </c>
      <c r="V104" s="12"/>
      <c r="W104">
        <v>8.8000000000000007</v>
      </c>
      <c r="X104">
        <v>8.5</v>
      </c>
      <c r="Y104">
        <v>67</v>
      </c>
      <c r="Z104">
        <v>94.3</v>
      </c>
      <c r="AA104">
        <f t="shared" si="44"/>
        <v>0.30000000000000071</v>
      </c>
      <c r="AB104" s="13">
        <f t="shared" si="45"/>
        <v>27.299999999999997</v>
      </c>
      <c r="AG104" s="12"/>
      <c r="AH104">
        <v>8.8000000000000007</v>
      </c>
      <c r="AJ104">
        <v>67</v>
      </c>
      <c r="AK104">
        <v>62.8</v>
      </c>
      <c r="AL104">
        <f t="shared" si="46"/>
        <v>8.8000000000000007</v>
      </c>
      <c r="AM104" s="13">
        <f t="shared" si="47"/>
        <v>4.2000000000000028</v>
      </c>
      <c r="AR104" s="12"/>
      <c r="AS104">
        <v>8.8000000000000007</v>
      </c>
      <c r="AT104">
        <v>8.4</v>
      </c>
      <c r="AU104">
        <v>67</v>
      </c>
      <c r="AV104">
        <v>67.2</v>
      </c>
      <c r="AW104">
        <f t="shared" si="48"/>
        <v>0.40000000000000036</v>
      </c>
      <c r="AX104" s="13">
        <f t="shared" si="49"/>
        <v>0.20000000000000284</v>
      </c>
    </row>
    <row r="105" spans="2:50" x14ac:dyDescent="0.25">
      <c r="B105" s="6"/>
      <c r="C105" s="7">
        <v>10</v>
      </c>
      <c r="D105" s="7">
        <v>9.6</v>
      </c>
      <c r="E105" s="7">
        <v>104</v>
      </c>
      <c r="F105" s="7">
        <v>80.900000000000006</v>
      </c>
      <c r="G105" s="7">
        <f t="shared" si="40"/>
        <v>0.40000000000000036</v>
      </c>
      <c r="H105" s="8">
        <f t="shared" si="41"/>
        <v>23.099999999999994</v>
      </c>
      <c r="L105" s="6"/>
      <c r="M105" s="7">
        <v>10</v>
      </c>
      <c r="N105" s="7">
        <v>9.6999999999999993</v>
      </c>
      <c r="O105" s="7">
        <v>104</v>
      </c>
      <c r="P105" s="7">
        <v>106.8</v>
      </c>
      <c r="Q105" s="7">
        <f t="shared" si="42"/>
        <v>0.30000000000000071</v>
      </c>
      <c r="R105" s="8">
        <f t="shared" si="43"/>
        <v>2.7999999999999972</v>
      </c>
      <c r="V105" s="6"/>
      <c r="W105" s="7">
        <v>10</v>
      </c>
      <c r="X105" s="7">
        <v>8.1999999999999993</v>
      </c>
      <c r="Y105" s="7">
        <v>104</v>
      </c>
      <c r="Z105" s="7">
        <v>93.2</v>
      </c>
      <c r="AA105" s="7">
        <f t="shared" si="44"/>
        <v>1.8000000000000007</v>
      </c>
      <c r="AB105" s="8">
        <f t="shared" si="45"/>
        <v>10.799999999999997</v>
      </c>
      <c r="AG105" s="6"/>
      <c r="AH105" s="7">
        <v>10</v>
      </c>
      <c r="AI105" s="7"/>
      <c r="AJ105" s="7">
        <v>104</v>
      </c>
      <c r="AK105" s="7">
        <v>105.1</v>
      </c>
      <c r="AL105" s="7">
        <f t="shared" si="46"/>
        <v>10</v>
      </c>
      <c r="AM105" s="8">
        <f t="shared" si="47"/>
        <v>1.0999999999999943</v>
      </c>
      <c r="AR105" s="6"/>
      <c r="AS105" s="7">
        <v>10</v>
      </c>
      <c r="AT105" s="7">
        <v>10</v>
      </c>
      <c r="AU105" s="7">
        <v>104</v>
      </c>
      <c r="AV105" s="7">
        <v>81.5</v>
      </c>
      <c r="AW105" s="7">
        <f t="shared" si="48"/>
        <v>0</v>
      </c>
      <c r="AX105" s="8">
        <f t="shared" si="49"/>
        <v>22.5</v>
      </c>
    </row>
    <row r="106" spans="2:50" x14ac:dyDescent="0.25">
      <c r="B106" s="3" t="s">
        <v>93</v>
      </c>
      <c r="C106" s="4">
        <v>10</v>
      </c>
      <c r="D106" s="4">
        <v>9.1999999999999993</v>
      </c>
      <c r="E106" s="4">
        <v>88</v>
      </c>
      <c r="F106" s="4">
        <v>68.8</v>
      </c>
      <c r="G106">
        <f t="shared" si="40"/>
        <v>0.80000000000000071</v>
      </c>
      <c r="H106" s="13">
        <f t="shared" si="41"/>
        <v>19.200000000000003</v>
      </c>
      <c r="L106" s="3" t="s">
        <v>93</v>
      </c>
      <c r="M106" s="4">
        <v>10</v>
      </c>
      <c r="N106" s="4">
        <v>9.5</v>
      </c>
      <c r="O106" s="4">
        <v>88</v>
      </c>
      <c r="P106" s="4">
        <v>82.4</v>
      </c>
      <c r="Q106">
        <f t="shared" si="42"/>
        <v>0.5</v>
      </c>
      <c r="R106" s="13">
        <f t="shared" si="43"/>
        <v>5.5999999999999943</v>
      </c>
      <c r="V106" s="3" t="s">
        <v>93</v>
      </c>
      <c r="W106" s="4">
        <v>10</v>
      </c>
      <c r="X106" s="4">
        <v>8.1999999999999993</v>
      </c>
      <c r="Y106" s="4">
        <v>88</v>
      </c>
      <c r="Z106" s="4">
        <v>95.5</v>
      </c>
      <c r="AA106">
        <f t="shared" si="44"/>
        <v>1.8000000000000007</v>
      </c>
      <c r="AB106" s="13">
        <f t="shared" si="45"/>
        <v>7.5</v>
      </c>
      <c r="AG106" s="3" t="s">
        <v>93</v>
      </c>
      <c r="AH106" s="4">
        <v>10</v>
      </c>
      <c r="AI106" s="4"/>
      <c r="AJ106" s="4">
        <v>88</v>
      </c>
      <c r="AK106" s="4">
        <v>171.3</v>
      </c>
      <c r="AL106">
        <f t="shared" si="46"/>
        <v>10</v>
      </c>
      <c r="AM106" s="13">
        <f t="shared" si="47"/>
        <v>83.300000000000011</v>
      </c>
      <c r="AR106" s="3" t="s">
        <v>93</v>
      </c>
      <c r="AS106" s="4">
        <v>10</v>
      </c>
      <c r="AT106" s="4">
        <v>8.5</v>
      </c>
      <c r="AU106" s="4">
        <v>88</v>
      </c>
      <c r="AV106" s="4">
        <v>71.5</v>
      </c>
      <c r="AW106">
        <f t="shared" si="48"/>
        <v>1.5</v>
      </c>
      <c r="AX106" s="13">
        <f t="shared" si="49"/>
        <v>16.5</v>
      </c>
    </row>
    <row r="107" spans="2:50" x14ac:dyDescent="0.25">
      <c r="B107" s="12"/>
      <c r="C107">
        <v>8.8000000000000007</v>
      </c>
      <c r="D107">
        <v>8.3000000000000007</v>
      </c>
      <c r="E107">
        <v>69</v>
      </c>
      <c r="F107">
        <v>80</v>
      </c>
      <c r="G107">
        <f t="shared" si="40"/>
        <v>0.5</v>
      </c>
      <c r="H107" s="13">
        <f t="shared" si="41"/>
        <v>11</v>
      </c>
      <c r="L107" s="12"/>
      <c r="M107">
        <v>8.8000000000000007</v>
      </c>
      <c r="N107">
        <v>9.4</v>
      </c>
      <c r="O107">
        <v>69</v>
      </c>
      <c r="P107">
        <v>102.8</v>
      </c>
      <c r="Q107">
        <f t="shared" si="42"/>
        <v>0.59999999999999964</v>
      </c>
      <c r="R107" s="13">
        <f t="shared" si="43"/>
        <v>33.799999999999997</v>
      </c>
      <c r="V107" s="12"/>
      <c r="W107">
        <v>8.8000000000000007</v>
      </c>
      <c r="X107">
        <v>8.1999999999999993</v>
      </c>
      <c r="Y107">
        <v>69</v>
      </c>
      <c r="Z107">
        <v>92</v>
      </c>
      <c r="AA107">
        <f t="shared" si="44"/>
        <v>0.60000000000000142</v>
      </c>
      <c r="AB107" s="13">
        <f t="shared" si="45"/>
        <v>23</v>
      </c>
      <c r="AG107" s="12"/>
      <c r="AH107">
        <v>8.8000000000000007</v>
      </c>
      <c r="AJ107">
        <v>69</v>
      </c>
      <c r="AK107">
        <v>94.3</v>
      </c>
      <c r="AL107">
        <f t="shared" si="46"/>
        <v>8.8000000000000007</v>
      </c>
      <c r="AM107" s="13">
        <f t="shared" si="47"/>
        <v>25.299999999999997</v>
      </c>
      <c r="AR107" s="12"/>
      <c r="AS107">
        <v>8.8000000000000007</v>
      </c>
      <c r="AT107">
        <v>8.8000000000000007</v>
      </c>
      <c r="AU107">
        <v>69</v>
      </c>
      <c r="AV107">
        <v>73.099999999999994</v>
      </c>
      <c r="AW107">
        <f t="shared" si="48"/>
        <v>0</v>
      </c>
      <c r="AX107" s="13">
        <f t="shared" si="49"/>
        <v>4.0999999999999943</v>
      </c>
    </row>
    <row r="108" spans="2:50" x14ac:dyDescent="0.25">
      <c r="B108" s="6"/>
      <c r="C108" s="7">
        <v>9.1999999999999993</v>
      </c>
      <c r="D108" s="7">
        <v>8.9</v>
      </c>
      <c r="E108" s="7">
        <v>109</v>
      </c>
      <c r="F108" s="7">
        <v>85.4</v>
      </c>
      <c r="G108" s="7">
        <f t="shared" si="40"/>
        <v>0.29999999999999893</v>
      </c>
      <c r="H108" s="8">
        <f t="shared" si="41"/>
        <v>23.599999999999994</v>
      </c>
      <c r="L108" s="6"/>
      <c r="M108" s="7">
        <v>9.1999999999999993</v>
      </c>
      <c r="N108" s="7">
        <v>9.4</v>
      </c>
      <c r="O108" s="7">
        <v>109</v>
      </c>
      <c r="P108" s="7">
        <v>101.6</v>
      </c>
      <c r="Q108" s="7">
        <f t="shared" si="42"/>
        <v>0.20000000000000107</v>
      </c>
      <c r="R108" s="8">
        <f t="shared" si="43"/>
        <v>7.4000000000000057</v>
      </c>
      <c r="V108" s="6"/>
      <c r="W108" s="7">
        <v>9.1999999999999993</v>
      </c>
      <c r="X108" s="7">
        <v>8.1999999999999993</v>
      </c>
      <c r="Y108" s="7">
        <v>109</v>
      </c>
      <c r="Z108" s="7">
        <v>98.4</v>
      </c>
      <c r="AA108" s="7">
        <f t="shared" si="44"/>
        <v>1</v>
      </c>
      <c r="AB108" s="8">
        <f t="shared" si="45"/>
        <v>10.599999999999994</v>
      </c>
      <c r="AG108" s="6"/>
      <c r="AH108" s="7">
        <v>9.1999999999999993</v>
      </c>
      <c r="AI108" s="7"/>
      <c r="AJ108" s="7">
        <v>109</v>
      </c>
      <c r="AK108" s="7">
        <v>112.5</v>
      </c>
      <c r="AL108" s="19">
        <f t="shared" si="46"/>
        <v>9.1999999999999993</v>
      </c>
      <c r="AM108" s="13">
        <f t="shared" si="47"/>
        <v>3.5</v>
      </c>
      <c r="AR108" s="6"/>
      <c r="AS108" s="7">
        <v>9.1999999999999993</v>
      </c>
      <c r="AT108" s="7">
        <v>8.6</v>
      </c>
      <c r="AU108" s="7">
        <v>109</v>
      </c>
      <c r="AV108" s="7">
        <v>82.2</v>
      </c>
      <c r="AW108" s="7">
        <f t="shared" si="48"/>
        <v>0.59999999999999964</v>
      </c>
      <c r="AX108" s="8">
        <f t="shared" si="49"/>
        <v>26.799999999999997</v>
      </c>
    </row>
    <row r="109" spans="2:50" x14ac:dyDescent="0.25">
      <c r="B109" s="3" t="s">
        <v>94</v>
      </c>
      <c r="C109" s="4">
        <v>13.2</v>
      </c>
      <c r="D109" s="4">
        <v>13</v>
      </c>
      <c r="E109" s="4">
        <v>103</v>
      </c>
      <c r="F109" s="4">
        <v>55</v>
      </c>
      <c r="G109" s="4">
        <f t="shared" si="40"/>
        <v>0.19999999999999929</v>
      </c>
      <c r="H109" s="5">
        <f t="shared" si="41"/>
        <v>48</v>
      </c>
      <c r="L109" s="3" t="s">
        <v>94</v>
      </c>
      <c r="M109" s="4">
        <v>13.2</v>
      </c>
      <c r="N109" s="4">
        <v>13.4</v>
      </c>
      <c r="O109" s="4">
        <v>103</v>
      </c>
      <c r="P109" s="4">
        <v>62.8</v>
      </c>
      <c r="Q109" s="4">
        <f t="shared" si="42"/>
        <v>0.20000000000000107</v>
      </c>
      <c r="R109" s="5">
        <f t="shared" si="43"/>
        <v>40.200000000000003</v>
      </c>
      <c r="V109" s="3" t="s">
        <v>94</v>
      </c>
      <c r="W109" s="4">
        <v>13.2</v>
      </c>
      <c r="X109" s="4">
        <v>12.9</v>
      </c>
      <c r="Y109" s="4">
        <v>103</v>
      </c>
      <c r="Z109" s="4">
        <v>97</v>
      </c>
      <c r="AA109" s="4">
        <f t="shared" si="44"/>
        <v>0.29999999999999893</v>
      </c>
      <c r="AB109" s="5">
        <f t="shared" si="45"/>
        <v>6</v>
      </c>
      <c r="AG109" s="3" t="s">
        <v>94</v>
      </c>
      <c r="AH109" s="4">
        <v>13.2</v>
      </c>
      <c r="AI109" s="4"/>
      <c r="AJ109" s="4">
        <v>103</v>
      </c>
      <c r="AK109" s="4">
        <v>126</v>
      </c>
      <c r="AL109" s="4">
        <f t="shared" si="46"/>
        <v>13.2</v>
      </c>
      <c r="AM109" s="5">
        <f t="shared" si="47"/>
        <v>23</v>
      </c>
      <c r="AR109" s="3" t="s">
        <v>94</v>
      </c>
      <c r="AS109" s="4">
        <v>13.2</v>
      </c>
      <c r="AT109" s="4">
        <v>13</v>
      </c>
      <c r="AU109" s="4">
        <v>103</v>
      </c>
      <c r="AV109" s="4">
        <v>39.6</v>
      </c>
      <c r="AW109" s="4">
        <f t="shared" si="48"/>
        <v>0.19999999999999929</v>
      </c>
      <c r="AX109" s="5">
        <f t="shared" si="49"/>
        <v>63.4</v>
      </c>
    </row>
    <row r="110" spans="2:50" x14ac:dyDescent="0.25">
      <c r="B110" s="12"/>
      <c r="C110">
        <v>8</v>
      </c>
      <c r="D110">
        <v>7.3</v>
      </c>
      <c r="E110">
        <v>85</v>
      </c>
      <c r="F110">
        <v>82.6</v>
      </c>
      <c r="G110">
        <f t="shared" si="40"/>
        <v>0.70000000000000018</v>
      </c>
      <c r="H110" s="13">
        <f t="shared" si="41"/>
        <v>2.4000000000000057</v>
      </c>
      <c r="L110" s="12"/>
      <c r="M110">
        <v>8</v>
      </c>
      <c r="N110">
        <v>7.7</v>
      </c>
      <c r="O110">
        <v>85</v>
      </c>
      <c r="P110">
        <v>89.6</v>
      </c>
      <c r="Q110">
        <f t="shared" si="42"/>
        <v>0.29999999999999982</v>
      </c>
      <c r="R110" s="13">
        <f t="shared" si="43"/>
        <v>4.5999999999999943</v>
      </c>
      <c r="V110" s="12"/>
      <c r="W110">
        <v>8</v>
      </c>
      <c r="X110">
        <v>7</v>
      </c>
      <c r="Y110">
        <v>85</v>
      </c>
      <c r="Z110">
        <v>94</v>
      </c>
      <c r="AA110">
        <f t="shared" si="44"/>
        <v>1</v>
      </c>
      <c r="AB110" s="13">
        <f t="shared" si="45"/>
        <v>9</v>
      </c>
      <c r="AG110" s="12"/>
      <c r="AH110">
        <v>8</v>
      </c>
      <c r="AJ110">
        <v>85</v>
      </c>
      <c r="AK110" s="18">
        <v>75.7</v>
      </c>
      <c r="AL110" s="19">
        <f t="shared" si="46"/>
        <v>8</v>
      </c>
      <c r="AM110" s="13">
        <f t="shared" si="47"/>
        <v>9.2999999999999972</v>
      </c>
      <c r="AR110" s="12"/>
      <c r="AS110">
        <v>8</v>
      </c>
      <c r="AT110" s="18">
        <v>7.4</v>
      </c>
      <c r="AU110">
        <v>85</v>
      </c>
      <c r="AV110" s="18">
        <v>89.9</v>
      </c>
      <c r="AW110" s="18">
        <f t="shared" si="48"/>
        <v>0.59999999999999964</v>
      </c>
      <c r="AX110" s="13">
        <f t="shared" si="49"/>
        <v>4.9000000000000057</v>
      </c>
    </row>
    <row r="111" spans="2:50" x14ac:dyDescent="0.25">
      <c r="B111" s="6"/>
      <c r="C111" s="7">
        <v>7.2</v>
      </c>
      <c r="D111" s="7">
        <v>7</v>
      </c>
      <c r="E111" s="7">
        <v>71</v>
      </c>
      <c r="F111" s="7">
        <v>68.099999999999994</v>
      </c>
      <c r="G111">
        <f t="shared" si="40"/>
        <v>0.20000000000000018</v>
      </c>
      <c r="H111" s="13">
        <f t="shared" si="41"/>
        <v>2.9000000000000057</v>
      </c>
      <c r="L111" s="6"/>
      <c r="M111" s="7">
        <v>7.2</v>
      </c>
      <c r="N111" s="7">
        <v>7.3</v>
      </c>
      <c r="O111" s="7">
        <v>71</v>
      </c>
      <c r="P111" s="7">
        <v>50.4</v>
      </c>
      <c r="Q111" s="7">
        <f t="shared" si="42"/>
        <v>9.9999999999999645E-2</v>
      </c>
      <c r="R111" s="8">
        <f t="shared" si="43"/>
        <v>20.6</v>
      </c>
      <c r="V111" s="6"/>
      <c r="W111" s="7">
        <v>7.2</v>
      </c>
      <c r="X111" s="7">
        <v>7</v>
      </c>
      <c r="Y111" s="7">
        <v>71</v>
      </c>
      <c r="Z111" s="7">
        <v>101.4</v>
      </c>
      <c r="AA111">
        <f t="shared" si="44"/>
        <v>0.20000000000000018</v>
      </c>
      <c r="AB111" s="13">
        <f t="shared" si="45"/>
        <v>30.400000000000006</v>
      </c>
      <c r="AG111" s="6"/>
      <c r="AH111" s="7">
        <v>7.2</v>
      </c>
      <c r="AI111" s="7"/>
      <c r="AJ111" s="7">
        <v>71</v>
      </c>
      <c r="AK111" s="7">
        <v>72.400000000000006</v>
      </c>
      <c r="AL111" s="7">
        <f t="shared" si="46"/>
        <v>7.2</v>
      </c>
      <c r="AM111" s="8">
        <f t="shared" si="47"/>
        <v>1.4000000000000057</v>
      </c>
      <c r="AR111" s="6"/>
      <c r="AS111" s="7">
        <v>7.2</v>
      </c>
      <c r="AT111" s="7">
        <v>7.2</v>
      </c>
      <c r="AU111" s="7">
        <v>71</v>
      </c>
      <c r="AV111" s="7">
        <v>92.4</v>
      </c>
      <c r="AW111" s="19">
        <f t="shared" si="48"/>
        <v>0</v>
      </c>
      <c r="AX111" s="13">
        <f t="shared" si="49"/>
        <v>21.400000000000006</v>
      </c>
    </row>
    <row r="112" spans="2:50" x14ac:dyDescent="0.25">
      <c r="B112" s="3" t="s">
        <v>95</v>
      </c>
      <c r="C112" s="4">
        <v>10</v>
      </c>
      <c r="D112" s="4">
        <v>10</v>
      </c>
      <c r="E112" s="4">
        <v>78</v>
      </c>
      <c r="F112" s="4">
        <v>60</v>
      </c>
      <c r="G112" s="4">
        <f t="shared" si="40"/>
        <v>0</v>
      </c>
      <c r="H112" s="5">
        <f t="shared" si="41"/>
        <v>18</v>
      </c>
      <c r="L112" s="3" t="s">
        <v>95</v>
      </c>
      <c r="M112" s="4">
        <v>10</v>
      </c>
      <c r="N112" s="4">
        <v>9.8000000000000007</v>
      </c>
      <c r="O112" s="4">
        <v>78</v>
      </c>
      <c r="P112" s="4">
        <v>59.2</v>
      </c>
      <c r="Q112" s="4">
        <f t="shared" si="42"/>
        <v>0.19999999999999929</v>
      </c>
      <c r="R112" s="5">
        <f t="shared" si="43"/>
        <v>18.799999999999997</v>
      </c>
      <c r="V112" s="3" t="s">
        <v>95</v>
      </c>
      <c r="W112" s="4">
        <v>10</v>
      </c>
      <c r="X112" s="4">
        <v>10.5</v>
      </c>
      <c r="Y112" s="4">
        <v>78</v>
      </c>
      <c r="Z112" s="4">
        <v>79.7</v>
      </c>
      <c r="AA112" s="4">
        <f t="shared" si="44"/>
        <v>0.5</v>
      </c>
      <c r="AB112" s="5">
        <f t="shared" si="45"/>
        <v>1.7000000000000028</v>
      </c>
      <c r="AG112" s="3" t="s">
        <v>95</v>
      </c>
      <c r="AH112" s="4">
        <v>10</v>
      </c>
      <c r="AI112" s="4"/>
      <c r="AJ112" s="4">
        <v>78</v>
      </c>
      <c r="AK112" s="4">
        <v>66</v>
      </c>
      <c r="AL112" s="4">
        <f t="shared" si="46"/>
        <v>10</v>
      </c>
      <c r="AM112" s="5">
        <f t="shared" si="47"/>
        <v>12</v>
      </c>
      <c r="AR112" s="3" t="s">
        <v>95</v>
      </c>
      <c r="AS112" s="4">
        <v>10</v>
      </c>
      <c r="AT112" s="4">
        <v>10</v>
      </c>
      <c r="AU112" s="4">
        <v>78</v>
      </c>
      <c r="AV112" s="4">
        <v>54.8</v>
      </c>
      <c r="AW112" s="4">
        <f t="shared" si="48"/>
        <v>0</v>
      </c>
      <c r="AX112" s="5">
        <f t="shared" si="49"/>
        <v>23.200000000000003</v>
      </c>
    </row>
    <row r="113" spans="2:50" x14ac:dyDescent="0.25">
      <c r="B113" s="12"/>
      <c r="C113">
        <v>8</v>
      </c>
      <c r="D113">
        <v>7.7</v>
      </c>
      <c r="E113">
        <v>74</v>
      </c>
      <c r="F113">
        <v>78.8</v>
      </c>
      <c r="G113">
        <f t="shared" si="40"/>
        <v>0.29999999999999982</v>
      </c>
      <c r="H113" s="13">
        <f t="shared" si="41"/>
        <v>4.7999999999999972</v>
      </c>
      <c r="L113" s="12"/>
      <c r="M113">
        <v>8</v>
      </c>
      <c r="N113">
        <v>7.7</v>
      </c>
      <c r="O113">
        <v>74</v>
      </c>
      <c r="P113">
        <v>64</v>
      </c>
      <c r="Q113">
        <f t="shared" si="42"/>
        <v>0.29999999999999982</v>
      </c>
      <c r="R113" s="13">
        <f t="shared" si="43"/>
        <v>10</v>
      </c>
      <c r="V113" s="12"/>
      <c r="W113">
        <v>8</v>
      </c>
      <c r="X113">
        <v>7</v>
      </c>
      <c r="Y113">
        <v>74</v>
      </c>
      <c r="Z113">
        <v>92.9</v>
      </c>
      <c r="AA113">
        <f t="shared" si="44"/>
        <v>1</v>
      </c>
      <c r="AB113" s="13">
        <f t="shared" si="45"/>
        <v>18.900000000000006</v>
      </c>
      <c r="AG113" s="12"/>
      <c r="AH113">
        <v>8</v>
      </c>
      <c r="AJ113">
        <v>74</v>
      </c>
      <c r="AK113" s="18">
        <v>110.5</v>
      </c>
      <c r="AL113" s="19">
        <f t="shared" si="46"/>
        <v>8</v>
      </c>
      <c r="AM113" s="13">
        <f t="shared" si="47"/>
        <v>36.5</v>
      </c>
      <c r="AR113" s="12"/>
      <c r="AS113">
        <v>8</v>
      </c>
      <c r="AT113" s="18">
        <v>6.8</v>
      </c>
      <c r="AU113">
        <v>74</v>
      </c>
      <c r="AV113" s="18">
        <v>87.7</v>
      </c>
      <c r="AW113" s="19">
        <f t="shared" si="48"/>
        <v>1.2000000000000002</v>
      </c>
      <c r="AX113" s="13">
        <f t="shared" si="49"/>
        <v>13.700000000000003</v>
      </c>
    </row>
    <row r="114" spans="2:50" x14ac:dyDescent="0.25">
      <c r="B114" s="6"/>
      <c r="C114" s="7">
        <v>7.2</v>
      </c>
      <c r="D114" s="7">
        <v>7.3</v>
      </c>
      <c r="E114" s="7">
        <v>70</v>
      </c>
      <c r="F114" s="7">
        <v>72.5</v>
      </c>
      <c r="G114">
        <f t="shared" si="40"/>
        <v>9.9999999999999645E-2</v>
      </c>
      <c r="H114" s="13">
        <f t="shared" si="41"/>
        <v>2.5</v>
      </c>
      <c r="L114" s="6"/>
      <c r="M114" s="7">
        <v>7.2</v>
      </c>
      <c r="N114" s="7">
        <v>6.6</v>
      </c>
      <c r="O114" s="7">
        <v>70</v>
      </c>
      <c r="P114" s="7">
        <v>51.2</v>
      </c>
      <c r="Q114" s="7">
        <f t="shared" si="42"/>
        <v>0.60000000000000053</v>
      </c>
      <c r="R114" s="8">
        <f t="shared" si="43"/>
        <v>18.799999999999997</v>
      </c>
      <c r="V114" s="6"/>
      <c r="W114" s="7">
        <v>7.2</v>
      </c>
      <c r="X114" s="7">
        <v>7</v>
      </c>
      <c r="Y114" s="7">
        <v>70</v>
      </c>
      <c r="Z114" s="7">
        <v>96.1</v>
      </c>
      <c r="AA114">
        <f t="shared" si="44"/>
        <v>0.20000000000000018</v>
      </c>
      <c r="AB114" s="13">
        <f t="shared" si="45"/>
        <v>26.099999999999994</v>
      </c>
      <c r="AG114" s="6"/>
      <c r="AH114" s="7">
        <v>7.2</v>
      </c>
      <c r="AI114" s="7"/>
      <c r="AJ114" s="7">
        <v>70</v>
      </c>
      <c r="AK114" s="7">
        <v>105.6</v>
      </c>
      <c r="AL114" s="7">
        <f t="shared" si="46"/>
        <v>7.2</v>
      </c>
      <c r="AM114" s="8">
        <f t="shared" si="47"/>
        <v>35.599999999999994</v>
      </c>
      <c r="AR114" s="6"/>
      <c r="AS114" s="7">
        <v>7.2</v>
      </c>
      <c r="AT114" s="7">
        <v>6.4</v>
      </c>
      <c r="AU114" s="7">
        <v>70</v>
      </c>
      <c r="AV114" s="7">
        <v>54</v>
      </c>
      <c r="AW114" s="7">
        <f t="shared" si="48"/>
        <v>0.79999999999999982</v>
      </c>
      <c r="AX114" s="8">
        <f t="shared" si="49"/>
        <v>16</v>
      </c>
    </row>
    <row r="115" spans="2:50" x14ac:dyDescent="0.25">
      <c r="B115" s="3" t="s">
        <v>96</v>
      </c>
      <c r="C115" s="4">
        <v>8</v>
      </c>
      <c r="D115" s="4">
        <v>8.1</v>
      </c>
      <c r="E115" s="4">
        <v>70</v>
      </c>
      <c r="F115" s="4">
        <v>66.3</v>
      </c>
      <c r="G115" s="4">
        <f t="shared" si="40"/>
        <v>9.9999999999999645E-2</v>
      </c>
      <c r="H115" s="5">
        <f t="shared" si="41"/>
        <v>3.7000000000000028</v>
      </c>
      <c r="L115" s="3" t="s">
        <v>96</v>
      </c>
      <c r="M115" s="4">
        <v>8</v>
      </c>
      <c r="N115" s="4">
        <v>9.1999999999999993</v>
      </c>
      <c r="O115" s="4">
        <v>70</v>
      </c>
      <c r="P115" s="4">
        <v>62.8</v>
      </c>
      <c r="Q115" s="4">
        <f t="shared" si="42"/>
        <v>1.1999999999999993</v>
      </c>
      <c r="R115" s="5">
        <f t="shared" si="43"/>
        <v>7.2000000000000028</v>
      </c>
      <c r="V115" s="3" t="s">
        <v>96</v>
      </c>
      <c r="W115" s="4">
        <v>8</v>
      </c>
      <c r="X115" s="4">
        <v>8.1999999999999993</v>
      </c>
      <c r="Y115" s="4">
        <v>70</v>
      </c>
      <c r="Z115" s="4">
        <v>90.8</v>
      </c>
      <c r="AA115" s="4">
        <f t="shared" si="44"/>
        <v>0.19999999999999929</v>
      </c>
      <c r="AB115" s="5">
        <f t="shared" si="45"/>
        <v>20.799999999999997</v>
      </c>
      <c r="AG115" s="3" t="s">
        <v>96</v>
      </c>
      <c r="AH115" s="4">
        <v>8</v>
      </c>
      <c r="AI115" s="4"/>
      <c r="AJ115" s="4">
        <v>70</v>
      </c>
      <c r="AK115" s="4">
        <v>101</v>
      </c>
      <c r="AL115" s="4">
        <f t="shared" si="46"/>
        <v>8</v>
      </c>
      <c r="AM115" s="5">
        <f t="shared" si="47"/>
        <v>31</v>
      </c>
      <c r="AR115" s="3" t="s">
        <v>96</v>
      </c>
      <c r="AS115" s="4">
        <v>8</v>
      </c>
      <c r="AT115" s="4">
        <v>8.1999999999999993</v>
      </c>
      <c r="AU115" s="4">
        <v>70</v>
      </c>
      <c r="AV115" s="4">
        <v>61.8</v>
      </c>
      <c r="AW115" s="4">
        <f t="shared" si="48"/>
        <v>0.19999999999999929</v>
      </c>
      <c r="AX115" s="5">
        <f t="shared" si="49"/>
        <v>8.2000000000000028</v>
      </c>
    </row>
    <row r="116" spans="2:50" x14ac:dyDescent="0.25">
      <c r="B116" s="12"/>
      <c r="C116">
        <v>10.4</v>
      </c>
      <c r="D116">
        <v>10.4</v>
      </c>
      <c r="E116">
        <v>85</v>
      </c>
      <c r="F116">
        <v>73.400000000000006</v>
      </c>
      <c r="G116">
        <f t="shared" si="40"/>
        <v>0</v>
      </c>
      <c r="H116" s="13">
        <f t="shared" si="41"/>
        <v>11.599999999999994</v>
      </c>
      <c r="L116" s="12"/>
      <c r="M116">
        <v>10.4</v>
      </c>
      <c r="N116">
        <v>10.199999999999999</v>
      </c>
      <c r="O116">
        <v>85</v>
      </c>
      <c r="P116">
        <v>114.8</v>
      </c>
      <c r="Q116">
        <f t="shared" si="42"/>
        <v>0.20000000000000107</v>
      </c>
      <c r="R116" s="13">
        <f t="shared" si="43"/>
        <v>29.799999999999997</v>
      </c>
      <c r="V116" s="12"/>
      <c r="W116">
        <v>10.4</v>
      </c>
      <c r="X116">
        <v>7</v>
      </c>
      <c r="Y116">
        <v>85</v>
      </c>
      <c r="Z116">
        <v>92.3</v>
      </c>
      <c r="AA116">
        <f t="shared" si="44"/>
        <v>3.4000000000000004</v>
      </c>
      <c r="AB116" s="13">
        <f t="shared" si="45"/>
        <v>7.2999999999999972</v>
      </c>
      <c r="AG116" s="12"/>
      <c r="AH116">
        <v>10.4</v>
      </c>
      <c r="AJ116">
        <v>85</v>
      </c>
      <c r="AK116" s="18">
        <v>97.3</v>
      </c>
      <c r="AL116" s="19">
        <f t="shared" si="46"/>
        <v>10.4</v>
      </c>
      <c r="AM116" s="13">
        <f t="shared" si="47"/>
        <v>12.299999999999997</v>
      </c>
      <c r="AR116" s="12"/>
      <c r="AS116">
        <v>10.4</v>
      </c>
      <c r="AT116" s="18">
        <v>8.1999999999999993</v>
      </c>
      <c r="AU116">
        <v>85</v>
      </c>
      <c r="AV116" s="18">
        <v>114.8</v>
      </c>
      <c r="AW116" s="19">
        <f t="shared" si="48"/>
        <v>2.2000000000000011</v>
      </c>
      <c r="AX116" s="13">
        <f t="shared" si="49"/>
        <v>29.799999999999997</v>
      </c>
    </row>
    <row r="117" spans="2:50" x14ac:dyDescent="0.25">
      <c r="B117" s="6"/>
      <c r="C117" s="7">
        <v>8</v>
      </c>
      <c r="D117" s="7">
        <v>8.4</v>
      </c>
      <c r="E117" s="7">
        <v>68</v>
      </c>
      <c r="F117" s="7">
        <v>76.099999999999994</v>
      </c>
      <c r="G117" s="7">
        <f t="shared" si="40"/>
        <v>0.40000000000000036</v>
      </c>
      <c r="H117" s="8">
        <f t="shared" si="41"/>
        <v>8.0999999999999943</v>
      </c>
      <c r="L117" s="6"/>
      <c r="M117" s="7">
        <v>8</v>
      </c>
      <c r="N117" s="7">
        <v>9.4</v>
      </c>
      <c r="O117" s="7">
        <v>68</v>
      </c>
      <c r="P117" s="7">
        <v>59.6</v>
      </c>
      <c r="Q117" s="7">
        <f t="shared" si="42"/>
        <v>1.4000000000000004</v>
      </c>
      <c r="R117" s="8">
        <f t="shared" si="43"/>
        <v>8.3999999999999986</v>
      </c>
      <c r="V117" s="6"/>
      <c r="W117" s="7">
        <v>8</v>
      </c>
      <c r="X117" s="7">
        <v>8.5</v>
      </c>
      <c r="Y117" s="7">
        <v>68</v>
      </c>
      <c r="Z117" s="7">
        <v>94.3</v>
      </c>
      <c r="AA117" s="7">
        <f t="shared" si="44"/>
        <v>0.5</v>
      </c>
      <c r="AB117" s="8">
        <f t="shared" si="45"/>
        <v>26.299999999999997</v>
      </c>
      <c r="AG117" s="6"/>
      <c r="AH117" s="7">
        <v>8</v>
      </c>
      <c r="AI117" s="7"/>
      <c r="AJ117" s="7">
        <v>68</v>
      </c>
      <c r="AK117" s="7">
        <v>83.75</v>
      </c>
      <c r="AL117" s="7">
        <f t="shared" si="46"/>
        <v>8</v>
      </c>
      <c r="AM117" s="8">
        <f t="shared" si="47"/>
        <v>15.75</v>
      </c>
      <c r="AR117" s="6"/>
      <c r="AS117" s="7">
        <v>8</v>
      </c>
      <c r="AT117" s="7">
        <v>9.5</v>
      </c>
      <c r="AU117" s="7">
        <v>68</v>
      </c>
      <c r="AV117" s="7">
        <v>53</v>
      </c>
      <c r="AW117" s="7">
        <f t="shared" si="48"/>
        <v>1.5</v>
      </c>
      <c r="AX117" s="8">
        <f t="shared" si="49"/>
        <v>15</v>
      </c>
    </row>
    <row r="118" spans="2:50" x14ac:dyDescent="0.25">
      <c r="B118" s="3" t="s">
        <v>36</v>
      </c>
      <c r="C118" s="4">
        <v>11.6</v>
      </c>
      <c r="D118" s="4">
        <v>11.4</v>
      </c>
      <c r="E118" s="4">
        <v>92</v>
      </c>
      <c r="F118" s="4">
        <v>66.3</v>
      </c>
      <c r="G118">
        <f t="shared" ref="G118:G133" si="50">ABS(C118-D118)</f>
        <v>0.19999999999999929</v>
      </c>
      <c r="H118" s="13">
        <f t="shared" ref="H118:H125" si="51">ABS(E118-F118)</f>
        <v>25.700000000000003</v>
      </c>
      <c r="L118" s="3" t="s">
        <v>36</v>
      </c>
      <c r="M118" s="4">
        <v>11.6</v>
      </c>
      <c r="N118" s="4">
        <v>10.7</v>
      </c>
      <c r="O118" s="4">
        <v>92</v>
      </c>
      <c r="P118" s="4">
        <v>49.2</v>
      </c>
      <c r="Q118" s="4">
        <f t="shared" ref="Q118:Q133" si="52">ABS(M118-N118)</f>
        <v>0.90000000000000036</v>
      </c>
      <c r="R118" s="5">
        <f t="shared" ref="R118:R125" si="53">ABS(O118-P118)</f>
        <v>42.8</v>
      </c>
      <c r="V118" s="3" t="s">
        <v>36</v>
      </c>
      <c r="W118" s="4">
        <v>11.6</v>
      </c>
      <c r="X118" s="4">
        <v>11.7</v>
      </c>
      <c r="Y118" s="4">
        <v>92</v>
      </c>
      <c r="Z118" s="4">
        <v>83.2</v>
      </c>
      <c r="AA118">
        <f t="shared" ref="AA118:AA133" si="54">ABS(W118-X118)</f>
        <v>9.9999999999999645E-2</v>
      </c>
      <c r="AB118" s="13">
        <f t="shared" ref="AB118:AB125" si="55">ABS(Y118-Z118)</f>
        <v>8.7999999999999972</v>
      </c>
      <c r="AG118" s="3" t="s">
        <v>36</v>
      </c>
      <c r="AH118" s="4">
        <v>11.6</v>
      </c>
      <c r="AI118" s="4"/>
      <c r="AJ118" s="4">
        <v>92</v>
      </c>
      <c r="AK118" s="4">
        <v>234</v>
      </c>
      <c r="AL118" s="19">
        <f t="shared" ref="AL118:AL133" si="56">ABS(AH118-AI118)</f>
        <v>11.6</v>
      </c>
      <c r="AM118" s="13">
        <f t="shared" ref="AM118:AM125" si="57">ABS(AJ118-AK118)</f>
        <v>142</v>
      </c>
      <c r="AR118" s="3" t="s">
        <v>36</v>
      </c>
      <c r="AS118" s="4">
        <v>11.6</v>
      </c>
      <c r="AT118" s="4">
        <v>11.4</v>
      </c>
      <c r="AU118" s="4">
        <v>92</v>
      </c>
      <c r="AV118" s="4">
        <v>62.9</v>
      </c>
      <c r="AW118" s="19">
        <f t="shared" ref="AW118:AW133" si="58">ABS(AS118-AT118)</f>
        <v>0.19999999999999929</v>
      </c>
      <c r="AX118" s="13">
        <f t="shared" ref="AX118:AX125" si="59">ABS(AU118-AV118)</f>
        <v>29.1</v>
      </c>
    </row>
    <row r="119" spans="2:50" x14ac:dyDescent="0.25">
      <c r="B119" s="12"/>
      <c r="C119">
        <v>10</v>
      </c>
      <c r="D119">
        <v>8.1999999999999993</v>
      </c>
      <c r="E119">
        <v>71</v>
      </c>
      <c r="F119">
        <v>69.400000000000006</v>
      </c>
      <c r="G119">
        <f t="shared" si="50"/>
        <v>1.8000000000000007</v>
      </c>
      <c r="H119" s="13">
        <f t="shared" si="51"/>
        <v>1.5999999999999943</v>
      </c>
      <c r="L119" s="12"/>
      <c r="M119">
        <v>10</v>
      </c>
      <c r="N119">
        <v>9.4</v>
      </c>
      <c r="O119">
        <v>71</v>
      </c>
      <c r="P119">
        <v>54</v>
      </c>
      <c r="Q119">
        <f t="shared" si="52"/>
        <v>0.59999999999999964</v>
      </c>
      <c r="R119" s="13">
        <f t="shared" si="53"/>
        <v>17</v>
      </c>
      <c r="V119" s="12"/>
      <c r="W119">
        <v>10</v>
      </c>
      <c r="X119">
        <v>8.1999999999999993</v>
      </c>
      <c r="Y119">
        <v>71</v>
      </c>
      <c r="Z119">
        <v>96.7</v>
      </c>
      <c r="AA119">
        <f t="shared" si="54"/>
        <v>1.8000000000000007</v>
      </c>
      <c r="AB119" s="13">
        <f t="shared" si="55"/>
        <v>25.700000000000003</v>
      </c>
      <c r="AG119" s="12"/>
      <c r="AH119">
        <v>10</v>
      </c>
      <c r="AJ119">
        <v>71</v>
      </c>
      <c r="AK119">
        <v>139</v>
      </c>
      <c r="AL119">
        <f t="shared" si="56"/>
        <v>10</v>
      </c>
      <c r="AM119" s="13">
        <f t="shared" si="57"/>
        <v>68</v>
      </c>
      <c r="AR119" s="12"/>
      <c r="AS119">
        <v>10</v>
      </c>
      <c r="AT119">
        <v>8</v>
      </c>
      <c r="AU119">
        <v>71</v>
      </c>
      <c r="AV119">
        <v>63.2</v>
      </c>
      <c r="AW119">
        <f t="shared" si="58"/>
        <v>2</v>
      </c>
      <c r="AX119" s="13">
        <f t="shared" si="59"/>
        <v>7.7999999999999972</v>
      </c>
    </row>
    <row r="120" spans="2:50" x14ac:dyDescent="0.25">
      <c r="B120" s="12"/>
      <c r="C120">
        <v>11.2</v>
      </c>
      <c r="D120">
        <v>11</v>
      </c>
      <c r="E120">
        <v>105</v>
      </c>
      <c r="F120">
        <v>62</v>
      </c>
      <c r="G120">
        <f t="shared" si="50"/>
        <v>0.19999999999999929</v>
      </c>
      <c r="H120" s="13">
        <f t="shared" si="51"/>
        <v>43</v>
      </c>
      <c r="L120" s="12"/>
      <c r="M120">
        <v>11.2</v>
      </c>
      <c r="N120">
        <v>10.4</v>
      </c>
      <c r="O120">
        <v>105</v>
      </c>
      <c r="P120">
        <v>62.8</v>
      </c>
      <c r="Q120">
        <f t="shared" si="52"/>
        <v>0.79999999999999893</v>
      </c>
      <c r="R120" s="13">
        <f t="shared" si="53"/>
        <v>42.2</v>
      </c>
      <c r="V120" s="12"/>
      <c r="W120">
        <v>11.2</v>
      </c>
      <c r="X120">
        <v>10.5</v>
      </c>
      <c r="Y120">
        <v>105</v>
      </c>
      <c r="Z120">
        <v>85</v>
      </c>
      <c r="AA120">
        <f t="shared" si="54"/>
        <v>0.69999999999999929</v>
      </c>
      <c r="AB120" s="13">
        <f t="shared" si="55"/>
        <v>20</v>
      </c>
      <c r="AG120" s="12"/>
      <c r="AH120">
        <v>11.2</v>
      </c>
      <c r="AJ120">
        <v>105</v>
      </c>
      <c r="AK120">
        <v>69.5</v>
      </c>
      <c r="AL120">
        <f t="shared" si="56"/>
        <v>11.2</v>
      </c>
      <c r="AM120" s="13">
        <f t="shared" si="57"/>
        <v>35.5</v>
      </c>
      <c r="AR120" s="12"/>
      <c r="AS120">
        <v>11.2</v>
      </c>
      <c r="AT120">
        <v>11.4</v>
      </c>
      <c r="AU120">
        <v>105</v>
      </c>
      <c r="AV120">
        <v>59.3</v>
      </c>
      <c r="AW120">
        <f t="shared" si="58"/>
        <v>0.20000000000000107</v>
      </c>
      <c r="AX120" s="13">
        <f t="shared" si="59"/>
        <v>45.7</v>
      </c>
    </row>
    <row r="121" spans="2:50" x14ac:dyDescent="0.25">
      <c r="B121" s="6"/>
      <c r="C121" s="7">
        <v>10.4</v>
      </c>
      <c r="D121" s="7">
        <v>10.7</v>
      </c>
      <c r="E121" s="7">
        <v>72</v>
      </c>
      <c r="F121" s="7">
        <v>68.8</v>
      </c>
      <c r="G121" s="7">
        <f t="shared" si="50"/>
        <v>0.29999999999999893</v>
      </c>
      <c r="H121" s="8">
        <f t="shared" si="51"/>
        <v>3.2000000000000028</v>
      </c>
      <c r="L121" s="6"/>
      <c r="M121" s="7">
        <v>10.4</v>
      </c>
      <c r="N121" s="7">
        <v>10.1</v>
      </c>
      <c r="O121" s="7">
        <v>72</v>
      </c>
      <c r="P121" s="7">
        <v>69.599999999999994</v>
      </c>
      <c r="Q121" s="7">
        <f t="shared" si="52"/>
        <v>0.30000000000000071</v>
      </c>
      <c r="R121" s="8">
        <f t="shared" si="53"/>
        <v>2.4000000000000057</v>
      </c>
      <c r="V121" s="6"/>
      <c r="W121" s="7">
        <v>10.4</v>
      </c>
      <c r="X121" s="7">
        <v>10.5</v>
      </c>
      <c r="Y121" s="7">
        <v>72</v>
      </c>
      <c r="Z121" s="7">
        <v>84</v>
      </c>
      <c r="AA121" s="7">
        <f t="shared" si="54"/>
        <v>9.9999999999999645E-2</v>
      </c>
      <c r="AB121" s="8">
        <f t="shared" si="55"/>
        <v>12</v>
      </c>
      <c r="AG121" s="6"/>
      <c r="AH121" s="7">
        <v>10.4</v>
      </c>
      <c r="AI121" s="7"/>
      <c r="AJ121" s="7">
        <v>72</v>
      </c>
      <c r="AK121" s="7">
        <v>82.3</v>
      </c>
      <c r="AL121" s="7">
        <f t="shared" si="56"/>
        <v>10.4</v>
      </c>
      <c r="AM121" s="8">
        <f t="shared" si="57"/>
        <v>10.299999999999997</v>
      </c>
      <c r="AR121" s="6"/>
      <c r="AS121" s="7">
        <v>10.4</v>
      </c>
      <c r="AT121" s="7">
        <v>10.6</v>
      </c>
      <c r="AU121" s="7">
        <v>72</v>
      </c>
      <c r="AV121" s="7">
        <v>67</v>
      </c>
      <c r="AW121" s="7">
        <f t="shared" si="58"/>
        <v>0.19999999999999929</v>
      </c>
      <c r="AX121" s="8">
        <f t="shared" si="59"/>
        <v>5</v>
      </c>
    </row>
    <row r="122" spans="2:50" x14ac:dyDescent="0.25">
      <c r="B122" s="3" t="s">
        <v>37</v>
      </c>
      <c r="C122" s="4">
        <v>12.8</v>
      </c>
      <c r="D122" s="4">
        <v>12.3</v>
      </c>
      <c r="E122" s="4">
        <v>95</v>
      </c>
      <c r="F122" s="4">
        <v>56.6</v>
      </c>
      <c r="G122">
        <f t="shared" si="50"/>
        <v>0.5</v>
      </c>
      <c r="H122" s="13">
        <f t="shared" si="51"/>
        <v>38.4</v>
      </c>
      <c r="L122" s="3" t="s">
        <v>37</v>
      </c>
      <c r="M122" s="4">
        <v>12.8</v>
      </c>
      <c r="N122" s="4">
        <v>12.9</v>
      </c>
      <c r="O122" s="4">
        <v>95</v>
      </c>
      <c r="P122" s="4">
        <v>50</v>
      </c>
      <c r="Q122">
        <f t="shared" si="52"/>
        <v>9.9999999999999645E-2</v>
      </c>
      <c r="R122" s="13">
        <f t="shared" si="53"/>
        <v>45</v>
      </c>
      <c r="V122" s="3" t="s">
        <v>37</v>
      </c>
      <c r="W122" s="4">
        <v>12.8</v>
      </c>
      <c r="X122" s="4">
        <v>12.9</v>
      </c>
      <c r="Y122" s="4">
        <v>95</v>
      </c>
      <c r="Z122" s="4">
        <v>95.5</v>
      </c>
      <c r="AA122">
        <f t="shared" si="54"/>
        <v>9.9999999999999645E-2</v>
      </c>
      <c r="AB122" s="13">
        <f t="shared" si="55"/>
        <v>0.5</v>
      </c>
      <c r="AG122" s="3" t="s">
        <v>37</v>
      </c>
      <c r="AH122" s="4">
        <v>12.8</v>
      </c>
      <c r="AI122" s="4"/>
      <c r="AJ122" s="4">
        <v>95</v>
      </c>
      <c r="AK122" s="4">
        <v>150</v>
      </c>
      <c r="AL122">
        <f t="shared" si="56"/>
        <v>12.8</v>
      </c>
      <c r="AM122" s="13">
        <f t="shared" si="57"/>
        <v>55</v>
      </c>
      <c r="AR122" s="3" t="s">
        <v>37</v>
      </c>
      <c r="AS122" s="4">
        <v>12.8</v>
      </c>
      <c r="AT122" s="4">
        <v>12.4</v>
      </c>
      <c r="AU122" s="4">
        <v>95</v>
      </c>
      <c r="AV122" s="4">
        <v>57.6</v>
      </c>
      <c r="AW122">
        <f t="shared" si="58"/>
        <v>0.40000000000000036</v>
      </c>
      <c r="AX122" s="13">
        <f t="shared" si="59"/>
        <v>37.4</v>
      </c>
    </row>
    <row r="123" spans="2:50" x14ac:dyDescent="0.25">
      <c r="B123" s="12"/>
      <c r="C123">
        <v>10</v>
      </c>
      <c r="D123">
        <v>10</v>
      </c>
      <c r="E123">
        <v>76</v>
      </c>
      <c r="F123">
        <v>63.9</v>
      </c>
      <c r="G123">
        <f t="shared" si="50"/>
        <v>0</v>
      </c>
      <c r="H123" s="13">
        <f t="shared" si="51"/>
        <v>12.100000000000001</v>
      </c>
      <c r="L123" s="12"/>
      <c r="M123">
        <v>10</v>
      </c>
      <c r="N123">
        <v>9.8000000000000007</v>
      </c>
      <c r="O123">
        <v>76</v>
      </c>
      <c r="P123">
        <v>58.4</v>
      </c>
      <c r="Q123">
        <f t="shared" si="52"/>
        <v>0.19999999999999929</v>
      </c>
      <c r="R123" s="13">
        <f t="shared" si="53"/>
        <v>17.600000000000001</v>
      </c>
      <c r="V123" s="12"/>
      <c r="W123">
        <v>10</v>
      </c>
      <c r="X123">
        <v>10.5</v>
      </c>
      <c r="Y123">
        <v>76</v>
      </c>
      <c r="Z123">
        <v>80.599999999999994</v>
      </c>
      <c r="AA123">
        <f t="shared" si="54"/>
        <v>0.5</v>
      </c>
      <c r="AB123" s="13">
        <f t="shared" si="55"/>
        <v>4.5999999999999943</v>
      </c>
      <c r="AG123" s="12"/>
      <c r="AH123">
        <v>10</v>
      </c>
      <c r="AJ123">
        <v>76</v>
      </c>
      <c r="AK123">
        <v>61</v>
      </c>
      <c r="AL123">
        <f t="shared" si="56"/>
        <v>10</v>
      </c>
      <c r="AM123" s="13">
        <f t="shared" si="57"/>
        <v>15</v>
      </c>
      <c r="AR123" s="12"/>
      <c r="AS123">
        <v>10</v>
      </c>
      <c r="AT123">
        <v>10</v>
      </c>
      <c r="AU123">
        <v>76</v>
      </c>
      <c r="AV123">
        <v>69.599999999999994</v>
      </c>
      <c r="AW123">
        <f t="shared" si="58"/>
        <v>0</v>
      </c>
      <c r="AX123" s="13">
        <f t="shared" si="59"/>
        <v>6.4000000000000057</v>
      </c>
    </row>
    <row r="124" spans="2:50" x14ac:dyDescent="0.25">
      <c r="B124" s="12"/>
      <c r="C124">
        <v>10</v>
      </c>
      <c r="D124">
        <v>9</v>
      </c>
      <c r="E124">
        <v>72</v>
      </c>
      <c r="F124">
        <v>66</v>
      </c>
      <c r="G124">
        <f t="shared" si="50"/>
        <v>1</v>
      </c>
      <c r="H124" s="13">
        <f t="shared" si="51"/>
        <v>6</v>
      </c>
      <c r="L124" s="12"/>
      <c r="M124">
        <v>10</v>
      </c>
      <c r="N124">
        <v>9.5</v>
      </c>
      <c r="O124">
        <v>72</v>
      </c>
      <c r="P124">
        <v>50.8</v>
      </c>
      <c r="Q124">
        <f t="shared" si="52"/>
        <v>0.5</v>
      </c>
      <c r="R124" s="13">
        <f t="shared" si="53"/>
        <v>21.200000000000003</v>
      </c>
      <c r="V124" s="12"/>
      <c r="W124">
        <v>10</v>
      </c>
      <c r="X124">
        <v>9.4</v>
      </c>
      <c r="Y124">
        <v>72</v>
      </c>
      <c r="Z124">
        <v>79.7</v>
      </c>
      <c r="AA124">
        <f t="shared" si="54"/>
        <v>0.59999999999999964</v>
      </c>
      <c r="AB124" s="13">
        <f t="shared" si="55"/>
        <v>7.7000000000000028</v>
      </c>
      <c r="AG124" s="12"/>
      <c r="AH124">
        <v>10</v>
      </c>
      <c r="AJ124">
        <v>72</v>
      </c>
      <c r="AK124">
        <v>72.7</v>
      </c>
      <c r="AL124">
        <f t="shared" si="56"/>
        <v>10</v>
      </c>
      <c r="AM124" s="13">
        <f t="shared" si="57"/>
        <v>0.70000000000000284</v>
      </c>
      <c r="AR124" s="12"/>
      <c r="AS124">
        <v>10</v>
      </c>
      <c r="AT124">
        <v>9.6</v>
      </c>
      <c r="AU124">
        <v>72</v>
      </c>
      <c r="AV124">
        <v>57.3</v>
      </c>
      <c r="AW124">
        <f t="shared" si="58"/>
        <v>0.40000000000000036</v>
      </c>
      <c r="AX124" s="13">
        <f t="shared" si="59"/>
        <v>14.700000000000003</v>
      </c>
    </row>
    <row r="125" spans="2:50" x14ac:dyDescent="0.25">
      <c r="B125" s="6"/>
      <c r="C125" s="7">
        <v>10</v>
      </c>
      <c r="D125" s="7">
        <v>10.8</v>
      </c>
      <c r="E125" s="7">
        <v>102</v>
      </c>
      <c r="F125" s="7">
        <v>81</v>
      </c>
      <c r="G125" s="7">
        <f t="shared" si="50"/>
        <v>0.80000000000000071</v>
      </c>
      <c r="H125" s="13">
        <f t="shared" si="51"/>
        <v>21</v>
      </c>
      <c r="L125" s="6"/>
      <c r="M125" s="7">
        <v>10</v>
      </c>
      <c r="N125" s="7">
        <v>9.6999999999999993</v>
      </c>
      <c r="O125" s="7">
        <v>102</v>
      </c>
      <c r="P125" s="7">
        <v>102</v>
      </c>
      <c r="Q125" s="7">
        <f t="shared" si="52"/>
        <v>0.30000000000000071</v>
      </c>
      <c r="R125" s="8">
        <f t="shared" si="53"/>
        <v>0</v>
      </c>
      <c r="V125" s="6"/>
      <c r="W125" s="7">
        <v>10</v>
      </c>
      <c r="X125" s="7">
        <v>10</v>
      </c>
      <c r="Y125" s="7">
        <v>102</v>
      </c>
      <c r="Z125" s="7">
        <v>101</v>
      </c>
      <c r="AA125" s="7">
        <f t="shared" si="54"/>
        <v>0</v>
      </c>
      <c r="AB125" s="8">
        <f t="shared" si="55"/>
        <v>1</v>
      </c>
      <c r="AG125" s="6"/>
      <c r="AH125" s="7">
        <v>10</v>
      </c>
      <c r="AI125" s="7"/>
      <c r="AJ125" s="7">
        <v>102</v>
      </c>
      <c r="AK125" s="7">
        <v>136.80000000000001</v>
      </c>
      <c r="AL125" s="7">
        <f t="shared" si="56"/>
        <v>10</v>
      </c>
      <c r="AM125" s="8">
        <f t="shared" si="57"/>
        <v>34.800000000000011</v>
      </c>
      <c r="AR125" s="6"/>
      <c r="AS125" s="7">
        <v>10</v>
      </c>
      <c r="AT125" s="7">
        <v>10.5</v>
      </c>
      <c r="AU125" s="7">
        <v>102</v>
      </c>
      <c r="AV125" s="7">
        <v>84</v>
      </c>
      <c r="AW125" s="7">
        <f t="shared" si="58"/>
        <v>0.5</v>
      </c>
      <c r="AX125" s="8">
        <f t="shared" si="59"/>
        <v>18</v>
      </c>
    </row>
    <row r="126" spans="2:50" x14ac:dyDescent="0.25">
      <c r="B126" s="3" t="s">
        <v>38</v>
      </c>
      <c r="C126" s="4">
        <v>10.8</v>
      </c>
      <c r="D126" s="4">
        <v>10</v>
      </c>
      <c r="E126" s="4">
        <v>91</v>
      </c>
      <c r="F126" s="4">
        <v>68.8</v>
      </c>
      <c r="G126" s="4">
        <f t="shared" si="50"/>
        <v>0.80000000000000071</v>
      </c>
      <c r="H126" s="5">
        <f>ABS(F126-E126)</f>
        <v>22.200000000000003</v>
      </c>
      <c r="L126" s="3" t="s">
        <v>38</v>
      </c>
      <c r="M126" s="4">
        <v>10.8</v>
      </c>
      <c r="N126" s="4">
        <v>10</v>
      </c>
      <c r="O126" s="4">
        <v>91</v>
      </c>
      <c r="P126" s="4">
        <v>118.8</v>
      </c>
      <c r="Q126" s="4">
        <f t="shared" si="52"/>
        <v>0.80000000000000071</v>
      </c>
      <c r="R126" s="5">
        <f>ABS(P126-O126)</f>
        <v>27.799999999999997</v>
      </c>
      <c r="V126" s="3" t="s">
        <v>38</v>
      </c>
      <c r="W126" s="4">
        <v>10.8</v>
      </c>
      <c r="X126" s="4">
        <v>10</v>
      </c>
      <c r="Y126" s="4">
        <v>91</v>
      </c>
      <c r="Z126" s="4">
        <v>81.2</v>
      </c>
      <c r="AA126" s="4">
        <f t="shared" si="54"/>
        <v>0.80000000000000071</v>
      </c>
      <c r="AB126" s="5">
        <f>ABS(Z126-Y126)</f>
        <v>9.7999999999999972</v>
      </c>
      <c r="AG126" s="3" t="s">
        <v>38</v>
      </c>
      <c r="AH126" s="4">
        <v>10.8</v>
      </c>
      <c r="AI126" s="4"/>
      <c r="AJ126" s="4">
        <v>91</v>
      </c>
      <c r="AK126" s="4">
        <v>114.6</v>
      </c>
      <c r="AL126" s="4">
        <f t="shared" si="56"/>
        <v>10.8</v>
      </c>
      <c r="AM126" s="5">
        <f>ABS(AK126-AJ126)</f>
        <v>23.599999999999994</v>
      </c>
      <c r="AR126" s="3" t="s">
        <v>38</v>
      </c>
      <c r="AS126" s="4">
        <v>10.8</v>
      </c>
      <c r="AT126" s="4">
        <v>10</v>
      </c>
      <c r="AU126" s="4">
        <v>91</v>
      </c>
      <c r="AV126" s="4">
        <v>64.400000000000006</v>
      </c>
      <c r="AW126" s="4">
        <f t="shared" si="58"/>
        <v>0.80000000000000071</v>
      </c>
      <c r="AX126" s="5">
        <f>ABS(AV126-AU126)</f>
        <v>26.599999999999994</v>
      </c>
    </row>
    <row r="127" spans="2:50" x14ac:dyDescent="0.25">
      <c r="B127" s="12"/>
      <c r="C127">
        <v>8.8000000000000007</v>
      </c>
      <c r="D127">
        <v>8.1999999999999993</v>
      </c>
      <c r="E127">
        <v>94</v>
      </c>
      <c r="F127">
        <v>69.3</v>
      </c>
      <c r="G127">
        <f t="shared" si="50"/>
        <v>0.60000000000000142</v>
      </c>
      <c r="H127" s="13">
        <f t="shared" ref="H127:H133" si="60">ABS(F127-E127)</f>
        <v>24.700000000000003</v>
      </c>
      <c r="L127" s="12"/>
      <c r="M127">
        <v>8.8000000000000007</v>
      </c>
      <c r="N127">
        <v>9.4</v>
      </c>
      <c r="O127">
        <v>94</v>
      </c>
      <c r="P127">
        <v>76.400000000000006</v>
      </c>
      <c r="Q127">
        <f t="shared" si="52"/>
        <v>0.59999999999999964</v>
      </c>
      <c r="R127" s="13">
        <f t="shared" ref="R127:R133" si="61">ABS(P127-O127)</f>
        <v>17.599999999999994</v>
      </c>
      <c r="V127" s="12"/>
      <c r="W127">
        <v>8.8000000000000007</v>
      </c>
      <c r="X127">
        <v>7.3</v>
      </c>
      <c r="Y127">
        <v>94</v>
      </c>
      <c r="Z127">
        <v>83.5</v>
      </c>
      <c r="AA127">
        <f t="shared" si="54"/>
        <v>1.5000000000000009</v>
      </c>
      <c r="AB127" s="13">
        <f t="shared" ref="AB127:AB133" si="62">ABS(Z127-Y127)</f>
        <v>10.5</v>
      </c>
      <c r="AG127" s="12"/>
      <c r="AH127">
        <v>8.8000000000000007</v>
      </c>
      <c r="AJ127">
        <v>94</v>
      </c>
      <c r="AK127">
        <v>74.5</v>
      </c>
      <c r="AL127">
        <f t="shared" si="56"/>
        <v>8.8000000000000007</v>
      </c>
      <c r="AM127" s="13">
        <f t="shared" ref="AM127:AM133" si="63">ABS(AK127-AJ127)</f>
        <v>19.5</v>
      </c>
      <c r="AR127" s="12"/>
      <c r="AS127">
        <v>8.8000000000000007</v>
      </c>
      <c r="AT127">
        <v>8.8000000000000007</v>
      </c>
      <c r="AU127">
        <v>94</v>
      </c>
      <c r="AV127">
        <v>78.900000000000006</v>
      </c>
      <c r="AW127">
        <f t="shared" si="58"/>
        <v>0</v>
      </c>
      <c r="AX127" s="13">
        <f t="shared" ref="AX127:AX133" si="64">ABS(AV127-AU127)</f>
        <v>15.099999999999994</v>
      </c>
    </row>
    <row r="128" spans="2:50" x14ac:dyDescent="0.25">
      <c r="B128" s="12"/>
      <c r="C128">
        <v>10</v>
      </c>
      <c r="D128">
        <v>9.5</v>
      </c>
      <c r="E128">
        <v>76</v>
      </c>
      <c r="F128">
        <v>78.400000000000006</v>
      </c>
      <c r="G128">
        <f t="shared" si="50"/>
        <v>0.5</v>
      </c>
      <c r="H128" s="13">
        <f t="shared" si="60"/>
        <v>2.4000000000000057</v>
      </c>
      <c r="L128" s="12"/>
      <c r="M128">
        <v>10</v>
      </c>
      <c r="N128">
        <v>9.6</v>
      </c>
      <c r="O128">
        <v>76</v>
      </c>
      <c r="P128">
        <v>85.6</v>
      </c>
      <c r="Q128">
        <f t="shared" si="52"/>
        <v>0.40000000000000036</v>
      </c>
      <c r="R128" s="13">
        <f t="shared" si="61"/>
        <v>9.5999999999999943</v>
      </c>
      <c r="V128" s="12"/>
      <c r="W128">
        <v>10</v>
      </c>
      <c r="X128">
        <v>9</v>
      </c>
      <c r="Y128">
        <v>76</v>
      </c>
      <c r="Z128">
        <v>77.599999999999994</v>
      </c>
      <c r="AA128">
        <f t="shared" si="54"/>
        <v>1</v>
      </c>
      <c r="AB128" s="13">
        <f t="shared" si="62"/>
        <v>1.5999999999999943</v>
      </c>
      <c r="AG128" s="12"/>
      <c r="AH128">
        <v>10</v>
      </c>
      <c r="AJ128">
        <v>76</v>
      </c>
      <c r="AK128">
        <v>172</v>
      </c>
      <c r="AL128">
        <f t="shared" si="56"/>
        <v>10</v>
      </c>
      <c r="AM128" s="13">
        <f t="shared" si="63"/>
        <v>96</v>
      </c>
      <c r="AR128" s="12"/>
      <c r="AS128">
        <v>10</v>
      </c>
      <c r="AT128">
        <v>10.15</v>
      </c>
      <c r="AU128">
        <v>76</v>
      </c>
      <c r="AV128">
        <v>89.7</v>
      </c>
      <c r="AW128">
        <f t="shared" si="58"/>
        <v>0.15000000000000036</v>
      </c>
      <c r="AX128" s="13">
        <f t="shared" si="64"/>
        <v>13.700000000000003</v>
      </c>
    </row>
    <row r="129" spans="2:50" x14ac:dyDescent="0.25">
      <c r="B129" s="6"/>
      <c r="C129" s="7">
        <v>8.8000000000000007</v>
      </c>
      <c r="D129" s="7">
        <v>9.6999999999999993</v>
      </c>
      <c r="E129" s="7">
        <v>94</v>
      </c>
      <c r="F129" s="7">
        <v>83.2</v>
      </c>
      <c r="G129" s="7">
        <f t="shared" si="50"/>
        <v>0.89999999999999858</v>
      </c>
      <c r="H129" s="13">
        <f t="shared" si="60"/>
        <v>10.799999999999997</v>
      </c>
      <c r="L129" s="6"/>
      <c r="M129" s="7">
        <v>8.8000000000000007</v>
      </c>
      <c r="N129" s="7">
        <v>9.8000000000000007</v>
      </c>
      <c r="O129" s="7">
        <v>94</v>
      </c>
      <c r="P129" s="7">
        <v>113</v>
      </c>
      <c r="Q129" s="7">
        <f t="shared" si="52"/>
        <v>1</v>
      </c>
      <c r="R129" s="13">
        <f t="shared" si="61"/>
        <v>19</v>
      </c>
      <c r="V129" s="6"/>
      <c r="W129" s="7">
        <v>8.8000000000000007</v>
      </c>
      <c r="X129" s="7">
        <v>9</v>
      </c>
      <c r="Y129" s="7">
        <v>94</v>
      </c>
      <c r="Z129" s="7">
        <v>87</v>
      </c>
      <c r="AA129" s="7">
        <f t="shared" si="54"/>
        <v>0.19999999999999929</v>
      </c>
      <c r="AB129" s="13">
        <f t="shared" si="62"/>
        <v>7</v>
      </c>
      <c r="AG129" s="6"/>
      <c r="AH129" s="7">
        <v>8.8000000000000007</v>
      </c>
      <c r="AI129" s="7"/>
      <c r="AJ129" s="7">
        <v>94</v>
      </c>
      <c r="AK129" s="7">
        <v>165</v>
      </c>
      <c r="AL129" s="7">
        <f t="shared" si="56"/>
        <v>8.8000000000000007</v>
      </c>
      <c r="AM129" s="13">
        <f t="shared" si="63"/>
        <v>71</v>
      </c>
      <c r="AR129" s="6"/>
      <c r="AS129" s="7">
        <v>8.8000000000000007</v>
      </c>
      <c r="AT129" s="7">
        <v>9.1999999999999993</v>
      </c>
      <c r="AU129" s="7">
        <v>94</v>
      </c>
      <c r="AV129" s="7">
        <v>68.900000000000006</v>
      </c>
      <c r="AW129" s="7">
        <f t="shared" si="58"/>
        <v>0.39999999999999858</v>
      </c>
      <c r="AX129" s="13">
        <f t="shared" si="64"/>
        <v>25.099999999999994</v>
      </c>
    </row>
    <row r="130" spans="2:50" x14ac:dyDescent="0.25">
      <c r="B130" s="3" t="s">
        <v>39</v>
      </c>
      <c r="C130" s="4">
        <v>10.8</v>
      </c>
      <c r="D130" s="4">
        <v>10.7</v>
      </c>
      <c r="E130" s="4">
        <v>95</v>
      </c>
      <c r="F130" s="4">
        <v>68.7</v>
      </c>
      <c r="G130" s="4">
        <f t="shared" si="50"/>
        <v>0.10000000000000142</v>
      </c>
      <c r="H130" s="5">
        <f t="shared" si="60"/>
        <v>26.299999999999997</v>
      </c>
      <c r="L130" s="3" t="s">
        <v>39</v>
      </c>
      <c r="M130" s="4">
        <v>10.8</v>
      </c>
      <c r="N130" s="4">
        <v>10.1</v>
      </c>
      <c r="O130" s="4">
        <v>95</v>
      </c>
      <c r="P130" s="4">
        <v>93.6</v>
      </c>
      <c r="Q130" s="4">
        <f t="shared" si="52"/>
        <v>0.70000000000000107</v>
      </c>
      <c r="R130" s="5">
        <f t="shared" si="61"/>
        <v>1.4000000000000057</v>
      </c>
      <c r="V130" s="3" t="s">
        <v>39</v>
      </c>
      <c r="W130" s="4">
        <v>10.8</v>
      </c>
      <c r="X130" s="4">
        <v>10.5</v>
      </c>
      <c r="Y130" s="4">
        <v>95</v>
      </c>
      <c r="Z130" s="4">
        <v>88.5</v>
      </c>
      <c r="AA130" s="4">
        <f t="shared" si="54"/>
        <v>0.30000000000000071</v>
      </c>
      <c r="AB130" s="5">
        <f t="shared" si="62"/>
        <v>6.5</v>
      </c>
      <c r="AG130" s="3" t="s">
        <v>39</v>
      </c>
      <c r="AH130" s="4">
        <v>10.8</v>
      </c>
      <c r="AI130" s="4"/>
      <c r="AJ130" s="4">
        <v>95</v>
      </c>
      <c r="AK130" s="4">
        <v>106.5</v>
      </c>
      <c r="AL130" s="4">
        <f t="shared" si="56"/>
        <v>10.8</v>
      </c>
      <c r="AM130" s="5">
        <f t="shared" si="63"/>
        <v>11.5</v>
      </c>
      <c r="AR130" s="3" t="s">
        <v>39</v>
      </c>
      <c r="AS130" s="4">
        <v>10.8</v>
      </c>
      <c r="AT130" s="4">
        <v>10.6</v>
      </c>
      <c r="AU130" s="4">
        <v>95</v>
      </c>
      <c r="AV130" s="4">
        <v>86.7</v>
      </c>
      <c r="AW130" s="4">
        <f t="shared" si="58"/>
        <v>0.20000000000000107</v>
      </c>
      <c r="AX130" s="5">
        <f t="shared" si="64"/>
        <v>8.2999999999999972</v>
      </c>
    </row>
    <row r="131" spans="2:50" x14ac:dyDescent="0.25">
      <c r="B131" s="12"/>
      <c r="C131">
        <v>9.1999999999999993</v>
      </c>
      <c r="D131">
        <v>8.9</v>
      </c>
      <c r="E131">
        <v>101</v>
      </c>
      <c r="F131">
        <v>72.599999999999994</v>
      </c>
      <c r="G131">
        <f t="shared" si="50"/>
        <v>0.29999999999999893</v>
      </c>
      <c r="H131" s="13">
        <f t="shared" si="60"/>
        <v>28.400000000000006</v>
      </c>
      <c r="L131" s="12"/>
      <c r="M131">
        <v>9.1999999999999993</v>
      </c>
      <c r="N131">
        <v>9.3000000000000007</v>
      </c>
      <c r="O131">
        <v>101</v>
      </c>
      <c r="P131">
        <v>50.5</v>
      </c>
      <c r="Q131">
        <f t="shared" si="52"/>
        <v>0.10000000000000142</v>
      </c>
      <c r="R131" s="13">
        <f t="shared" si="61"/>
        <v>50.5</v>
      </c>
      <c r="V131" s="12"/>
      <c r="W131">
        <v>9.1999999999999993</v>
      </c>
      <c r="X131">
        <v>8.1999999999999993</v>
      </c>
      <c r="Y131">
        <v>101</v>
      </c>
      <c r="Z131">
        <v>95.8</v>
      </c>
      <c r="AA131">
        <f t="shared" si="54"/>
        <v>1</v>
      </c>
      <c r="AB131" s="13">
        <f t="shared" si="62"/>
        <v>5.2000000000000028</v>
      </c>
      <c r="AG131" s="12"/>
      <c r="AH131">
        <v>9.1999999999999993</v>
      </c>
      <c r="AJ131">
        <v>101</v>
      </c>
      <c r="AK131">
        <v>64.3</v>
      </c>
      <c r="AL131">
        <f t="shared" si="56"/>
        <v>9.1999999999999993</v>
      </c>
      <c r="AM131" s="13">
        <f t="shared" si="63"/>
        <v>36.700000000000003</v>
      </c>
      <c r="AR131" s="12"/>
      <c r="AS131">
        <v>9.1999999999999993</v>
      </c>
      <c r="AT131">
        <v>8.6</v>
      </c>
      <c r="AU131">
        <v>101</v>
      </c>
      <c r="AV131">
        <v>64.3</v>
      </c>
      <c r="AW131">
        <f t="shared" si="58"/>
        <v>0.59999999999999964</v>
      </c>
      <c r="AX131" s="13">
        <f t="shared" si="64"/>
        <v>36.700000000000003</v>
      </c>
    </row>
    <row r="132" spans="2:50" x14ac:dyDescent="0.25">
      <c r="B132" s="12"/>
      <c r="C132">
        <v>10</v>
      </c>
      <c r="D132">
        <v>7.1</v>
      </c>
      <c r="E132">
        <v>90</v>
      </c>
      <c r="F132">
        <v>70.8</v>
      </c>
      <c r="G132">
        <f t="shared" si="50"/>
        <v>2.9000000000000004</v>
      </c>
      <c r="H132" s="13">
        <f t="shared" si="60"/>
        <v>19.200000000000003</v>
      </c>
      <c r="L132" s="12"/>
      <c r="M132">
        <v>10</v>
      </c>
      <c r="N132">
        <v>8.8000000000000007</v>
      </c>
      <c r="O132">
        <v>90</v>
      </c>
      <c r="P132">
        <v>58.8</v>
      </c>
      <c r="Q132">
        <f t="shared" si="52"/>
        <v>1.1999999999999993</v>
      </c>
      <c r="R132" s="13">
        <f t="shared" si="61"/>
        <v>31.200000000000003</v>
      </c>
      <c r="V132" s="12"/>
      <c r="W132">
        <v>10</v>
      </c>
      <c r="X132">
        <v>7</v>
      </c>
      <c r="Y132">
        <v>90</v>
      </c>
      <c r="Z132">
        <v>88.5</v>
      </c>
      <c r="AA132">
        <f t="shared" si="54"/>
        <v>3</v>
      </c>
      <c r="AB132" s="13">
        <f t="shared" si="62"/>
        <v>1.5</v>
      </c>
      <c r="AG132" s="12"/>
      <c r="AH132">
        <v>10</v>
      </c>
      <c r="AJ132">
        <v>90</v>
      </c>
      <c r="AK132">
        <v>102</v>
      </c>
      <c r="AL132">
        <f t="shared" si="56"/>
        <v>10</v>
      </c>
      <c r="AM132" s="13">
        <f t="shared" si="63"/>
        <v>12</v>
      </c>
      <c r="AR132" s="12"/>
      <c r="AS132">
        <v>10</v>
      </c>
      <c r="AT132">
        <v>6.6</v>
      </c>
      <c r="AU132">
        <v>90</v>
      </c>
      <c r="AV132">
        <v>75.599999999999994</v>
      </c>
      <c r="AW132">
        <f t="shared" si="58"/>
        <v>3.4000000000000004</v>
      </c>
      <c r="AX132" s="13">
        <f t="shared" si="64"/>
        <v>14.400000000000006</v>
      </c>
    </row>
    <row r="133" spans="2:50" x14ac:dyDescent="0.25">
      <c r="B133" s="6"/>
      <c r="C133" s="7">
        <v>10.8</v>
      </c>
      <c r="D133" s="7">
        <v>8</v>
      </c>
      <c r="E133" s="7">
        <v>75</v>
      </c>
      <c r="F133" s="7">
        <v>65</v>
      </c>
      <c r="G133" s="7">
        <f t="shared" si="50"/>
        <v>2.8000000000000007</v>
      </c>
      <c r="H133" s="8">
        <f t="shared" si="60"/>
        <v>10</v>
      </c>
      <c r="L133" s="6"/>
      <c r="M133" s="7">
        <v>10.8</v>
      </c>
      <c r="N133" s="7">
        <v>9.4</v>
      </c>
      <c r="O133" s="7">
        <v>75</v>
      </c>
      <c r="P133" s="7">
        <v>53.2</v>
      </c>
      <c r="Q133" s="7">
        <f t="shared" si="52"/>
        <v>1.4000000000000004</v>
      </c>
      <c r="R133" s="13">
        <f t="shared" si="61"/>
        <v>21.799999999999997</v>
      </c>
      <c r="V133" s="6"/>
      <c r="W133" s="7">
        <v>10.8</v>
      </c>
      <c r="X133" s="7">
        <v>7.3</v>
      </c>
      <c r="Y133" s="7">
        <v>75</v>
      </c>
      <c r="Z133" s="7">
        <v>86.1</v>
      </c>
      <c r="AA133" s="7">
        <f t="shared" si="54"/>
        <v>3.5000000000000009</v>
      </c>
      <c r="AB133" s="13">
        <f t="shared" si="62"/>
        <v>11.099999999999994</v>
      </c>
      <c r="AG133" s="6"/>
      <c r="AH133" s="7">
        <v>10.8</v>
      </c>
      <c r="AI133" s="7"/>
      <c r="AJ133" s="7">
        <v>75</v>
      </c>
      <c r="AK133" s="7">
        <v>181.5</v>
      </c>
      <c r="AL133" s="7">
        <f t="shared" si="56"/>
        <v>10.8</v>
      </c>
      <c r="AM133" s="8">
        <f t="shared" si="63"/>
        <v>106.5</v>
      </c>
      <c r="AR133" s="6"/>
      <c r="AS133" s="7">
        <v>10.8</v>
      </c>
      <c r="AT133" s="7">
        <v>9.4</v>
      </c>
      <c r="AU133" s="7">
        <v>75</v>
      </c>
      <c r="AV133" s="7">
        <v>89.8</v>
      </c>
      <c r="AW133" s="7">
        <f t="shared" si="58"/>
        <v>1.4000000000000004</v>
      </c>
      <c r="AX133" s="13">
        <f t="shared" si="64"/>
        <v>14.799999999999997</v>
      </c>
    </row>
    <row r="134" spans="2:50" x14ac:dyDescent="0.25">
      <c r="G134">
        <f>AVERAGE(G2:G133)</f>
        <v>0.60151515151515156</v>
      </c>
      <c r="H134">
        <f>AVERAGE(H2:H133)</f>
        <v>19.684090909090902</v>
      </c>
      <c r="Q134">
        <f>AVERAGE(Q2:Q133)</f>
        <v>0.63181818181818195</v>
      </c>
      <c r="R134" s="4">
        <f>AVERAGE(R2:R133)</f>
        <v>22.259848484848487</v>
      </c>
      <c r="AA134">
        <f>AVERAGE(AA2:AA133)</f>
        <v>0.90984848484848468</v>
      </c>
      <c r="AB134" s="4">
        <f>AVERAGE(AB2:AB133)</f>
        <v>10.979545454545447</v>
      </c>
      <c r="AM134">
        <f>AVERAGE(AM2:AM133)</f>
        <v>40.844318181818188</v>
      </c>
      <c r="AW134">
        <f>AVERAGE(AW2:AW133)</f>
        <v>0.61772727272727301</v>
      </c>
      <c r="AX134" s="4">
        <f>AVERAGE(AX2:AX133)</f>
        <v>20.440151515151513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farina</dc:creator>
  <cp:lastModifiedBy>christian farina</cp:lastModifiedBy>
  <dcterms:created xsi:type="dcterms:W3CDTF">2015-06-05T18:19:34Z</dcterms:created>
  <dcterms:modified xsi:type="dcterms:W3CDTF">2026-02-24T11:39:01Z</dcterms:modified>
</cp:coreProperties>
</file>