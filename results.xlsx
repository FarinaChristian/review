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rist\Desktop\"/>
    </mc:Choice>
  </mc:AlternateContent>
  <xr:revisionPtr revIDLastSave="0" documentId="13_ncr:1_{E0850A1F-FABF-4C38-8CE2-51A0A7BBD96C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6" i="1" l="1"/>
  <c r="R26" i="1"/>
  <c r="Q26" i="1"/>
  <c r="AA26" i="1" l="1"/>
  <c r="G26" i="1"/>
  <c r="H26" i="1"/>
  <c r="AM13" i="1"/>
  <c r="AL13" i="1"/>
  <c r="H13" i="1"/>
  <c r="G13" i="1"/>
  <c r="R13" i="1"/>
  <c r="Q13" i="1"/>
  <c r="AM25" i="1"/>
  <c r="AL25" i="1"/>
  <c r="AM24" i="1"/>
  <c r="AL2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Q14" i="1"/>
  <c r="R14" i="1"/>
  <c r="Q15" i="1"/>
  <c r="R15" i="1"/>
  <c r="AB26" i="1"/>
  <c r="AB13" i="1"/>
  <c r="AA13" i="1"/>
  <c r="AB25" i="1"/>
  <c r="AA25" i="1"/>
  <c r="AB24" i="1"/>
  <c r="AA2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M15" i="1"/>
  <c r="AL15" i="1"/>
  <c r="AM14" i="1"/>
  <c r="AL1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15" i="1"/>
  <c r="AA15" i="1"/>
  <c r="AB14" i="1"/>
  <c r="AA1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14" i="1"/>
  <c r="H15" i="1"/>
  <c r="G3" i="1"/>
  <c r="G4" i="1"/>
  <c r="G5" i="1"/>
  <c r="G14" i="1"/>
  <c r="G15" i="1"/>
  <c r="H2" i="1"/>
  <c r="G2" i="1"/>
</calcChain>
</file>

<file path=xl/sharedStrings.xml><?xml version="1.0" encoding="utf-8"?>
<sst xmlns="http://schemas.openxmlformats.org/spreadsheetml/2006/main" count="108" uniqueCount="31">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</sst>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8" xfId="0" applyBorder="1"/>
    <xf numFmtId="3" fontId="0" fillId="0" borderId="1" xfId="0" applyNumberFormat="1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0" xfId="0" applyFill="1" applyBorder="1"/>
    <xf numFmtId="0" fontId="0" fillId="0" border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26"/>
  <sheetViews>
    <sheetView tabSelected="1" zoomScale="110" zoomScaleNormal="160" workbookViewId="0">
      <selection activeCell="V35" sqref="V35"/>
    </sheetView>
  </sheetViews>
  <sheetFormatPr defaultRowHeight="14.5" x14ac:dyDescent="0.35"/>
  <cols>
    <col min="1" max="1" width="18.81640625" customWidth="1"/>
    <col min="2" max="2" width="18.453125" customWidth="1"/>
    <col min="8" max="8" width="10.54296875" customWidth="1"/>
    <col min="9" max="9" width="11.26953125" customWidth="1"/>
    <col min="11" max="11" width="17.453125" customWidth="1"/>
    <col min="12" max="12" width="18" customWidth="1"/>
    <col min="18" max="18" width="12" bestFit="1" customWidth="1"/>
    <col min="21" max="21" width="16" customWidth="1"/>
    <col min="22" max="22" width="17.81640625" customWidth="1"/>
    <col min="24" max="24" width="11.1796875" bestFit="1" customWidth="1"/>
    <col min="32" max="32" width="8" customWidth="1"/>
    <col min="33" max="33" width="17.26953125" customWidth="1"/>
    <col min="35" max="35" width="10.26953125" customWidth="1"/>
    <col min="43" max="43" width="9.1796875" customWidth="1"/>
  </cols>
  <sheetData>
    <row r="1" spans="1:39" x14ac:dyDescent="0.3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U1" s="1" t="s">
        <v>5</v>
      </c>
      <c r="V1" s="1" t="s">
        <v>6</v>
      </c>
      <c r="W1" s="1" t="s">
        <v>7</v>
      </c>
      <c r="X1" s="1" t="s">
        <v>23</v>
      </c>
      <c r="Y1" s="1" t="s">
        <v>9</v>
      </c>
      <c r="Z1" s="1" t="s">
        <v>10</v>
      </c>
      <c r="AA1" s="1" t="s">
        <v>11</v>
      </c>
      <c r="AB1" s="1" t="s">
        <v>12</v>
      </c>
      <c r="AF1" s="1" t="s">
        <v>5</v>
      </c>
      <c r="AG1" s="1" t="s">
        <v>6</v>
      </c>
      <c r="AH1" s="1" t="s">
        <v>7</v>
      </c>
      <c r="AI1" s="1" t="s">
        <v>23</v>
      </c>
      <c r="AJ1" s="1" t="s">
        <v>9</v>
      </c>
      <c r="AK1" s="1" t="s">
        <v>10</v>
      </c>
      <c r="AL1" s="1" t="s">
        <v>11</v>
      </c>
      <c r="AM1" s="1" t="s">
        <v>12</v>
      </c>
    </row>
    <row r="2" spans="1:39" x14ac:dyDescent="0.35">
      <c r="A2" s="9" t="s">
        <v>14</v>
      </c>
      <c r="B2" s="9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9">
        <f>ABS(E2-F2)</f>
        <v>13.700000000000003</v>
      </c>
      <c r="K2" s="9" t="s">
        <v>13</v>
      </c>
      <c r="L2" s="9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9">
        <f>ABS(O2-P2)</f>
        <v>2.5</v>
      </c>
      <c r="U2" s="9" t="s">
        <v>22</v>
      </c>
      <c r="V2" s="9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9">
        <f>ABS(Y2-Z2)</f>
        <v>2.5</v>
      </c>
      <c r="AF2" s="9" t="s">
        <v>24</v>
      </c>
      <c r="AG2" s="9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9">
        <f>ABS(AJ2-AK2)</f>
        <v>18.299999999999997</v>
      </c>
    </row>
    <row r="3" spans="1:39" x14ac:dyDescent="0.35">
      <c r="B3" s="9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9">
        <f t="shared" ref="H3:H12" si="1">ABS(E3-F3)</f>
        <v>6</v>
      </c>
      <c r="L3" s="9" t="s">
        <v>1</v>
      </c>
      <c r="M3" s="9">
        <v>12</v>
      </c>
      <c r="N3" s="9">
        <v>11.8</v>
      </c>
      <c r="O3" s="9">
        <v>71</v>
      </c>
      <c r="P3" s="9">
        <v>82.7</v>
      </c>
      <c r="Q3" s="9">
        <f t="shared" ref="Q3:Q12" si="2">ABS(M3-N3)</f>
        <v>0.19999999999999929</v>
      </c>
      <c r="R3" s="9">
        <f t="shared" ref="R3:R12" si="3">ABS(O3-P3)</f>
        <v>11.700000000000003</v>
      </c>
      <c r="V3" s="9" t="s">
        <v>1</v>
      </c>
      <c r="W3" s="9">
        <v>12</v>
      </c>
      <c r="X3" s="9">
        <v>10.199999999999999</v>
      </c>
      <c r="Y3" s="9">
        <v>71</v>
      </c>
      <c r="Z3" s="9">
        <v>115.3</v>
      </c>
      <c r="AA3" s="9">
        <f t="shared" ref="AA3:AA12" si="4">ABS(W3-X3)</f>
        <v>1.8000000000000007</v>
      </c>
      <c r="AB3" s="9">
        <f t="shared" ref="AB3:AB12" si="5">ABS(Y3-Z3)</f>
        <v>44.3</v>
      </c>
      <c r="AG3" s="9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9">
        <f t="shared" ref="AM3:AM12" si="7">ABS(AJ3-AK3)</f>
        <v>10</v>
      </c>
    </row>
    <row r="4" spans="1:39" x14ac:dyDescent="0.35">
      <c r="B4" s="9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9">
        <f t="shared" si="1"/>
        <v>3</v>
      </c>
      <c r="L4" s="9" t="s">
        <v>2</v>
      </c>
      <c r="M4" s="9">
        <v>16.5</v>
      </c>
      <c r="N4" s="9">
        <v>16.7</v>
      </c>
      <c r="O4" s="9">
        <v>100</v>
      </c>
      <c r="P4" s="9">
        <v>99.7</v>
      </c>
      <c r="Q4" s="9">
        <f t="shared" si="2"/>
        <v>0.19999999999999929</v>
      </c>
      <c r="R4" s="9">
        <f t="shared" si="3"/>
        <v>0.29999999999999716</v>
      </c>
      <c r="V4" s="9" t="s">
        <v>2</v>
      </c>
      <c r="W4" s="9">
        <v>16.5</v>
      </c>
      <c r="X4" s="9">
        <v>16.100000000000001</v>
      </c>
      <c r="Y4" s="9">
        <v>100</v>
      </c>
      <c r="Z4" s="9">
        <v>101.7</v>
      </c>
      <c r="AA4" s="9">
        <f t="shared" si="4"/>
        <v>0.39999999999999858</v>
      </c>
      <c r="AB4" s="9">
        <f t="shared" si="5"/>
        <v>1.7000000000000028</v>
      </c>
      <c r="AG4" s="9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9">
        <f t="shared" si="7"/>
        <v>53.300000000000011</v>
      </c>
    </row>
    <row r="5" spans="1:39" x14ac:dyDescent="0.35">
      <c r="B5" s="9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9">
        <f t="shared" si="1"/>
        <v>20.799999999999997</v>
      </c>
      <c r="L5" s="10" t="s">
        <v>3</v>
      </c>
      <c r="M5" s="10">
        <v>12.5</v>
      </c>
      <c r="N5" s="9">
        <v>12</v>
      </c>
      <c r="O5" s="10">
        <v>64</v>
      </c>
      <c r="P5" s="9">
        <v>64</v>
      </c>
      <c r="Q5" s="10">
        <f t="shared" si="2"/>
        <v>0.5</v>
      </c>
      <c r="R5" s="10">
        <f t="shared" si="3"/>
        <v>0</v>
      </c>
      <c r="V5" s="10" t="s">
        <v>3</v>
      </c>
      <c r="W5" s="10">
        <v>12.5</v>
      </c>
      <c r="X5" s="10">
        <v>11.7</v>
      </c>
      <c r="Y5" s="10">
        <v>64</v>
      </c>
      <c r="Z5" s="10">
        <v>93.75</v>
      </c>
      <c r="AA5" s="10">
        <f t="shared" si="4"/>
        <v>0.80000000000000071</v>
      </c>
      <c r="AB5" s="10">
        <f t="shared" si="5"/>
        <v>29.75</v>
      </c>
      <c r="AG5" s="10" t="s">
        <v>3</v>
      </c>
      <c r="AH5" s="10">
        <v>12.5</v>
      </c>
      <c r="AI5" s="10"/>
      <c r="AJ5" s="10">
        <v>64</v>
      </c>
      <c r="AK5" s="10">
        <v>64.3</v>
      </c>
      <c r="AL5" s="10">
        <f t="shared" si="6"/>
        <v>12.5</v>
      </c>
      <c r="AM5" s="10">
        <f t="shared" si="7"/>
        <v>0.29999999999999716</v>
      </c>
    </row>
    <row r="6" spans="1:39" x14ac:dyDescent="0.35">
      <c r="B6" s="9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9">
        <f t="shared" si="1"/>
        <v>3</v>
      </c>
      <c r="K6" s="14"/>
      <c r="L6" s="9" t="s">
        <v>15</v>
      </c>
      <c r="M6" s="9">
        <v>15</v>
      </c>
      <c r="N6" s="9">
        <v>13.7</v>
      </c>
      <c r="O6" s="9">
        <v>107</v>
      </c>
      <c r="P6" s="9">
        <v>104.8</v>
      </c>
      <c r="Q6" s="9">
        <f t="shared" si="2"/>
        <v>1.3000000000000007</v>
      </c>
      <c r="R6" s="9">
        <f t="shared" si="3"/>
        <v>2.2000000000000028</v>
      </c>
      <c r="V6" s="9" t="s">
        <v>15</v>
      </c>
      <c r="W6" s="9">
        <v>15</v>
      </c>
      <c r="X6" s="9">
        <v>14.6</v>
      </c>
      <c r="Y6" s="9">
        <v>107</v>
      </c>
      <c r="Z6" s="9">
        <v>104</v>
      </c>
      <c r="AA6" s="9">
        <f t="shared" si="4"/>
        <v>0.40000000000000036</v>
      </c>
      <c r="AB6" s="9">
        <f t="shared" si="5"/>
        <v>3</v>
      </c>
      <c r="AG6" s="9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9">
        <f t="shared" si="7"/>
        <v>109</v>
      </c>
    </row>
    <row r="7" spans="1:39" x14ac:dyDescent="0.35">
      <c r="B7" s="9" t="s">
        <v>16</v>
      </c>
      <c r="C7" s="9">
        <v>21.75</v>
      </c>
      <c r="D7" s="9">
        <v>21.7</v>
      </c>
      <c r="E7" s="9">
        <v>108</v>
      </c>
      <c r="F7" s="9">
        <v>94.3</v>
      </c>
      <c r="G7" s="9">
        <f t="shared" si="0"/>
        <v>5.0000000000000711E-2</v>
      </c>
      <c r="H7" s="9">
        <f t="shared" si="1"/>
        <v>13.700000000000003</v>
      </c>
      <c r="K7" s="14"/>
      <c r="L7" s="9" t="s">
        <v>16</v>
      </c>
      <c r="M7" s="9">
        <v>21.75</v>
      </c>
      <c r="N7" s="9">
        <v>21.8</v>
      </c>
      <c r="O7" s="9">
        <v>108</v>
      </c>
      <c r="P7" s="9">
        <v>64.8</v>
      </c>
      <c r="Q7" s="9">
        <f t="shared" si="2"/>
        <v>5.0000000000000711E-2</v>
      </c>
      <c r="R7" s="9">
        <f t="shared" si="3"/>
        <v>43.2</v>
      </c>
      <c r="V7" s="9" t="s">
        <v>16</v>
      </c>
      <c r="W7" s="9">
        <v>21.75</v>
      </c>
      <c r="X7" s="11">
        <v>2.9</v>
      </c>
      <c r="Y7" s="9">
        <v>108</v>
      </c>
      <c r="Z7" s="9">
        <v>109.8</v>
      </c>
      <c r="AA7" s="1">
        <f t="shared" si="4"/>
        <v>18.850000000000001</v>
      </c>
      <c r="AB7" s="9">
        <f t="shared" si="5"/>
        <v>1.7999999999999972</v>
      </c>
      <c r="AG7" s="9" t="s">
        <v>16</v>
      </c>
      <c r="AH7" s="9">
        <v>21.75</v>
      </c>
      <c r="AI7" s="11"/>
      <c r="AJ7" s="9">
        <v>108</v>
      </c>
      <c r="AK7" s="9">
        <v>216</v>
      </c>
      <c r="AL7" s="9">
        <f t="shared" si="6"/>
        <v>21.75</v>
      </c>
      <c r="AM7" s="9">
        <f t="shared" si="7"/>
        <v>108</v>
      </c>
    </row>
    <row r="8" spans="1:39" x14ac:dyDescent="0.35">
      <c r="B8" s="9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9">
        <f t="shared" si="1"/>
        <v>3</v>
      </c>
      <c r="K8" s="14"/>
      <c r="L8" s="9" t="s">
        <v>17</v>
      </c>
      <c r="M8" s="9">
        <v>24.5</v>
      </c>
      <c r="N8" s="9">
        <v>23.9</v>
      </c>
      <c r="O8" s="9">
        <v>110</v>
      </c>
      <c r="P8" s="9">
        <v>49.8</v>
      </c>
      <c r="Q8" s="9">
        <f t="shared" si="2"/>
        <v>0.60000000000000142</v>
      </c>
      <c r="R8" s="9">
        <f t="shared" si="3"/>
        <v>60.2</v>
      </c>
      <c r="V8" s="9" t="s">
        <v>17</v>
      </c>
      <c r="W8" s="9">
        <v>24.5</v>
      </c>
      <c r="X8" s="9">
        <v>1.4</v>
      </c>
      <c r="Y8" s="9">
        <v>110</v>
      </c>
      <c r="Z8" s="9">
        <v>111.3</v>
      </c>
      <c r="AA8" s="1">
        <f t="shared" si="4"/>
        <v>23.1</v>
      </c>
      <c r="AB8" s="9">
        <f t="shared" si="5"/>
        <v>1.2999999999999972</v>
      </c>
      <c r="AG8" s="9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9">
        <f t="shared" si="7"/>
        <v>112</v>
      </c>
    </row>
    <row r="9" spans="1:39" x14ac:dyDescent="0.35">
      <c r="B9" s="9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9">
        <f t="shared" si="1"/>
        <v>49</v>
      </c>
      <c r="L9" s="9" t="s">
        <v>18</v>
      </c>
      <c r="M9" s="9">
        <v>22</v>
      </c>
      <c r="N9" s="9">
        <v>21.1</v>
      </c>
      <c r="O9" s="9">
        <v>113</v>
      </c>
      <c r="P9" s="9">
        <v>62.1</v>
      </c>
      <c r="Q9" s="9">
        <f t="shared" si="2"/>
        <v>0.89999999999999858</v>
      </c>
      <c r="R9" s="9">
        <f t="shared" si="3"/>
        <v>50.9</v>
      </c>
      <c r="V9" s="9" t="s">
        <v>18</v>
      </c>
      <c r="W9" s="9">
        <v>22</v>
      </c>
      <c r="X9" s="9">
        <v>20.5</v>
      </c>
      <c r="Y9" s="9">
        <v>113</v>
      </c>
      <c r="Z9" s="9">
        <v>101</v>
      </c>
      <c r="AA9" s="9">
        <f t="shared" si="4"/>
        <v>1.5</v>
      </c>
      <c r="AB9" s="9">
        <f t="shared" si="5"/>
        <v>12</v>
      </c>
      <c r="AG9" s="9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9">
        <f t="shared" si="7"/>
        <v>0.5</v>
      </c>
    </row>
    <row r="10" spans="1:39" x14ac:dyDescent="0.35">
      <c r="B10" s="9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9">
        <f t="shared" si="1"/>
        <v>34</v>
      </c>
      <c r="L10" s="9" t="s">
        <v>19</v>
      </c>
      <c r="M10" s="9">
        <v>25.5</v>
      </c>
      <c r="N10" s="9">
        <v>25.5</v>
      </c>
      <c r="O10" s="9">
        <v>110</v>
      </c>
      <c r="P10" s="9">
        <v>75.599999999999994</v>
      </c>
      <c r="Q10" s="9">
        <f t="shared" si="2"/>
        <v>0</v>
      </c>
      <c r="R10" s="9">
        <f t="shared" si="3"/>
        <v>34.400000000000006</v>
      </c>
      <c r="V10" s="9" t="s">
        <v>19</v>
      </c>
      <c r="W10" s="9">
        <v>25.5</v>
      </c>
      <c r="X10" s="9">
        <v>24.9</v>
      </c>
      <c r="Y10" s="9">
        <v>110</v>
      </c>
      <c r="Z10" s="9">
        <v>107.1</v>
      </c>
      <c r="AA10" s="9">
        <f t="shared" si="4"/>
        <v>0.60000000000000142</v>
      </c>
      <c r="AB10" s="9">
        <f t="shared" si="5"/>
        <v>2.9000000000000057</v>
      </c>
      <c r="AG10" s="9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9">
        <f t="shared" si="7"/>
        <v>96</v>
      </c>
    </row>
    <row r="11" spans="1:39" x14ac:dyDescent="0.35">
      <c r="B11" s="9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9">
        <f t="shared" si="1"/>
        <v>23</v>
      </c>
      <c r="L11" s="9" t="s">
        <v>20</v>
      </c>
      <c r="M11" s="9">
        <v>19.5</v>
      </c>
      <c r="N11" s="9">
        <v>18.899999999999999</v>
      </c>
      <c r="O11" s="9">
        <v>102</v>
      </c>
      <c r="P11" s="9">
        <v>57.2</v>
      </c>
      <c r="Q11" s="9">
        <f t="shared" si="2"/>
        <v>0.60000000000000142</v>
      </c>
      <c r="R11" s="9">
        <f t="shared" si="3"/>
        <v>44.8</v>
      </c>
      <c r="V11" s="9" t="s">
        <v>20</v>
      </c>
      <c r="W11" s="9">
        <v>19.5</v>
      </c>
      <c r="X11" s="9">
        <v>19</v>
      </c>
      <c r="Y11" s="9">
        <v>102</v>
      </c>
      <c r="Z11" s="9">
        <v>102.5</v>
      </c>
      <c r="AA11" s="9">
        <f t="shared" si="4"/>
        <v>0.5</v>
      </c>
      <c r="AB11" s="9">
        <f t="shared" si="5"/>
        <v>0.5</v>
      </c>
      <c r="AG11" s="9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9">
        <f t="shared" si="7"/>
        <v>27.700000000000003</v>
      </c>
    </row>
    <row r="12" spans="1:39" x14ac:dyDescent="0.35">
      <c r="B12" s="9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9">
        <f t="shared" si="1"/>
        <v>4</v>
      </c>
      <c r="L12" s="9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9">
        <f t="shared" si="3"/>
        <v>39</v>
      </c>
      <c r="V12" s="9" t="s">
        <v>21</v>
      </c>
      <c r="W12" s="9">
        <v>13</v>
      </c>
      <c r="X12" s="9">
        <v>13</v>
      </c>
      <c r="Y12" s="9">
        <v>104</v>
      </c>
      <c r="Z12" s="9">
        <v>102.5</v>
      </c>
      <c r="AA12" s="9">
        <f t="shared" si="4"/>
        <v>0</v>
      </c>
      <c r="AB12" s="9">
        <f t="shared" si="5"/>
        <v>1.5</v>
      </c>
      <c r="AG12" s="9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9">
        <f t="shared" si="7"/>
        <v>6.7000000000000028</v>
      </c>
    </row>
    <row r="13" spans="1:39" x14ac:dyDescent="0.35">
      <c r="B13" s="9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9">
        <f>ABS(E13-F13)</f>
        <v>1.9000000000000057</v>
      </c>
      <c r="L13" s="9" t="s">
        <v>30</v>
      </c>
      <c r="M13" s="9">
        <v>10</v>
      </c>
      <c r="N13" s="9">
        <v>8.3000000000000007</v>
      </c>
      <c r="O13" s="9">
        <v>90</v>
      </c>
      <c r="P13" s="9">
        <v>72</v>
      </c>
      <c r="Q13" s="9">
        <f>ABS(M13-N13)</f>
        <v>1.6999999999999993</v>
      </c>
      <c r="R13" s="9">
        <f>ABS(O13-P13)</f>
        <v>18</v>
      </c>
      <c r="V13" s="9" t="s">
        <v>30</v>
      </c>
      <c r="W13" s="12">
        <v>10</v>
      </c>
      <c r="X13" s="12">
        <v>8.8000000000000007</v>
      </c>
      <c r="Y13" s="12">
        <v>90</v>
      </c>
      <c r="Z13" s="12">
        <v>108.4</v>
      </c>
      <c r="AA13" s="12">
        <f>ABS(W13-X13)</f>
        <v>1.1999999999999993</v>
      </c>
      <c r="AB13" s="13">
        <f>ABS(Y13-Z13)</f>
        <v>18.400000000000006</v>
      </c>
      <c r="AG13" s="9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9">
        <f>ABS(AJ13-AK13)</f>
        <v>10.5</v>
      </c>
    </row>
    <row r="14" spans="1:39" x14ac:dyDescent="0.35">
      <c r="A14" s="2"/>
      <c r="B14" s="3" t="s">
        <v>4</v>
      </c>
      <c r="C14" s="4">
        <v>12</v>
      </c>
      <c r="D14" s="4">
        <v>11</v>
      </c>
      <c r="E14" s="4">
        <v>67</v>
      </c>
      <c r="F14" s="4">
        <v>69</v>
      </c>
      <c r="G14" s="4">
        <f>ABS(C14-D14)</f>
        <v>1</v>
      </c>
      <c r="H14" s="5">
        <f>ABS(E14-F14)</f>
        <v>2</v>
      </c>
      <c r="L14" s="3" t="s">
        <v>4</v>
      </c>
      <c r="M14" s="4">
        <v>12</v>
      </c>
      <c r="N14" s="4">
        <v>11.7</v>
      </c>
      <c r="O14" s="4">
        <v>67</v>
      </c>
      <c r="P14" s="4">
        <v>116</v>
      </c>
      <c r="Q14" s="4">
        <f>ABS(M14-N14)</f>
        <v>0.30000000000000071</v>
      </c>
      <c r="R14" s="5">
        <f>ABS(O14-P14)</f>
        <v>49</v>
      </c>
      <c r="V14" s="3" t="s">
        <v>4</v>
      </c>
      <c r="W14" s="4">
        <v>12</v>
      </c>
      <c r="X14" s="4">
        <v>11.7</v>
      </c>
      <c r="Y14" s="4">
        <v>67</v>
      </c>
      <c r="Z14" s="4">
        <v>110.3</v>
      </c>
      <c r="AA14" s="4">
        <f>ABS(W14-X14)</f>
        <v>0.30000000000000071</v>
      </c>
      <c r="AB14" s="5">
        <f>ABS(Y14-Z14)</f>
        <v>43.3</v>
      </c>
      <c r="AG14" s="3" t="s">
        <v>4</v>
      </c>
      <c r="AH14" s="4">
        <v>12</v>
      </c>
      <c r="AI14" s="4"/>
      <c r="AJ14" s="4">
        <v>67</v>
      </c>
      <c r="AK14" s="4">
        <v>69.7</v>
      </c>
      <c r="AL14" s="4">
        <f>ABS(AH14-AI14)</f>
        <v>12</v>
      </c>
      <c r="AM14" s="5">
        <f>ABS(AJ14-AK14)</f>
        <v>2.7000000000000028</v>
      </c>
    </row>
    <row r="15" spans="1:39" x14ac:dyDescent="0.35">
      <c r="B15" s="6"/>
      <c r="C15" s="7">
        <v>16.5</v>
      </c>
      <c r="D15" s="7">
        <v>16.5</v>
      </c>
      <c r="E15" s="7">
        <v>105</v>
      </c>
      <c r="F15" s="7">
        <v>116.8</v>
      </c>
      <c r="G15" s="7">
        <f>ABS(C15-D15)</f>
        <v>0</v>
      </c>
      <c r="H15" s="8">
        <f>ABS(E15-F15)</f>
        <v>11.799999999999997</v>
      </c>
      <c r="L15" s="6"/>
      <c r="M15" s="7">
        <v>16.5</v>
      </c>
      <c r="N15" s="7">
        <v>16.7</v>
      </c>
      <c r="O15" s="7">
        <v>105</v>
      </c>
      <c r="P15" s="7">
        <v>60.8</v>
      </c>
      <c r="Q15" s="7">
        <f>ABS(M15-N15)</f>
        <v>0.19999999999999929</v>
      </c>
      <c r="R15" s="8">
        <f>ABS(O15-P15)</f>
        <v>44.2</v>
      </c>
      <c r="V15" s="6"/>
      <c r="W15" s="7">
        <v>16.5</v>
      </c>
      <c r="X15" s="7">
        <v>16.100000000000001</v>
      </c>
      <c r="Y15" s="7">
        <v>105</v>
      </c>
      <c r="Z15" s="7">
        <v>102</v>
      </c>
      <c r="AA15" s="7">
        <f>ABS(W15-X15)</f>
        <v>0.39999999999999858</v>
      </c>
      <c r="AB15" s="8">
        <f>ABS(Y15-Z15)</f>
        <v>3</v>
      </c>
      <c r="AG15" s="6"/>
      <c r="AH15" s="7">
        <v>16.5</v>
      </c>
      <c r="AI15" s="7"/>
      <c r="AJ15" s="7">
        <v>105</v>
      </c>
      <c r="AK15" s="7">
        <v>90</v>
      </c>
      <c r="AL15" s="7">
        <f>ABS(AH15-AI15)</f>
        <v>16.5</v>
      </c>
      <c r="AM15" s="8">
        <f>ABS(AJ15-AK15)</f>
        <v>15</v>
      </c>
    </row>
    <row r="16" spans="1:39" x14ac:dyDescent="0.35">
      <c r="B16" s="3" t="s">
        <v>25</v>
      </c>
      <c r="C16" s="4">
        <v>14</v>
      </c>
      <c r="D16" s="4">
        <v>14</v>
      </c>
      <c r="E16" s="4">
        <v>75</v>
      </c>
      <c r="F16" s="4">
        <v>80</v>
      </c>
      <c r="G16" s="4">
        <f>ABS(C16-D16)</f>
        <v>0</v>
      </c>
      <c r="H16" s="5">
        <f t="shared" ref="H16:H25" si="8">ABS(E16-F16)</f>
        <v>5</v>
      </c>
      <c r="L16" s="3" t="s">
        <v>25</v>
      </c>
      <c r="M16" s="4">
        <v>14</v>
      </c>
      <c r="N16" s="4">
        <v>13.2</v>
      </c>
      <c r="O16" s="4">
        <v>75</v>
      </c>
      <c r="P16" s="4">
        <v>50.5</v>
      </c>
      <c r="Q16" s="4">
        <f>ABS(M16-N16)</f>
        <v>0.80000000000000071</v>
      </c>
      <c r="R16" s="5">
        <f t="shared" ref="R16:R25" si="9">ABS(O16-P16)</f>
        <v>24.5</v>
      </c>
      <c r="V16" s="3" t="s">
        <v>25</v>
      </c>
      <c r="W16" s="4">
        <v>14</v>
      </c>
      <c r="X16" s="4">
        <v>13.9</v>
      </c>
      <c r="Y16" s="4">
        <v>75</v>
      </c>
      <c r="Z16" s="4">
        <v>102</v>
      </c>
      <c r="AA16" s="4">
        <f>ABS(W16-X16)</f>
        <v>9.9999999999999645E-2</v>
      </c>
      <c r="AB16" s="5">
        <f t="shared" ref="AB16:AB25" si="10">ABS(Y16-Z16)</f>
        <v>27</v>
      </c>
      <c r="AG16" s="3" t="s">
        <v>25</v>
      </c>
      <c r="AH16" s="4">
        <v>14</v>
      </c>
      <c r="AI16" s="4"/>
      <c r="AJ16" s="4">
        <v>75</v>
      </c>
      <c r="AK16" s="4">
        <v>70.3</v>
      </c>
      <c r="AL16" s="4">
        <f>ABS(AH16-AI16)</f>
        <v>14</v>
      </c>
      <c r="AM16" s="5">
        <f t="shared" ref="AM16:AM25" si="11">ABS(AJ16-AK16)</f>
        <v>4.7000000000000028</v>
      </c>
    </row>
    <row r="17" spans="2:40" x14ac:dyDescent="0.35">
      <c r="B17" s="6"/>
      <c r="C17" s="7">
        <v>20.5</v>
      </c>
      <c r="D17" s="7">
        <v>20.5</v>
      </c>
      <c r="E17" s="7">
        <v>105</v>
      </c>
      <c r="F17" s="7">
        <v>114</v>
      </c>
      <c r="G17" s="7">
        <f>ABS(C17-D17)</f>
        <v>0</v>
      </c>
      <c r="H17" s="8">
        <f t="shared" si="8"/>
        <v>9</v>
      </c>
      <c r="L17" s="6"/>
      <c r="M17" s="7">
        <v>20.5</v>
      </c>
      <c r="N17" s="7">
        <v>21</v>
      </c>
      <c r="O17" s="7">
        <v>105</v>
      </c>
      <c r="P17" s="7">
        <v>96.3</v>
      </c>
      <c r="Q17" s="7">
        <f>ABS(M17-N17)</f>
        <v>0.5</v>
      </c>
      <c r="R17" s="8">
        <f t="shared" si="9"/>
        <v>8.7000000000000028</v>
      </c>
      <c r="V17" s="6"/>
      <c r="W17" s="7">
        <v>20.5</v>
      </c>
      <c r="X17" s="7">
        <v>20.5</v>
      </c>
      <c r="Y17" s="7">
        <v>105</v>
      </c>
      <c r="Z17" s="7">
        <v>133.30000000000001</v>
      </c>
      <c r="AA17" s="7">
        <f>ABS(W17-X17)</f>
        <v>0</v>
      </c>
      <c r="AB17" s="8">
        <f t="shared" si="10"/>
        <v>28.300000000000011</v>
      </c>
      <c r="AG17" s="6"/>
      <c r="AH17" s="7">
        <v>20.5</v>
      </c>
      <c r="AI17" s="7"/>
      <c r="AJ17" s="7">
        <v>105</v>
      </c>
      <c r="AK17" s="7">
        <v>157</v>
      </c>
      <c r="AL17" s="7">
        <f>ABS(AH17-AI17)</f>
        <v>20.5</v>
      </c>
      <c r="AM17" s="8">
        <f t="shared" si="11"/>
        <v>52</v>
      </c>
    </row>
    <row r="18" spans="2:40" x14ac:dyDescent="0.35">
      <c r="B18" s="3" t="s">
        <v>26</v>
      </c>
      <c r="C18" s="4">
        <v>16.5</v>
      </c>
      <c r="D18" s="4">
        <v>16.2</v>
      </c>
      <c r="E18" s="4">
        <v>100</v>
      </c>
      <c r="F18" s="4">
        <v>93.8</v>
      </c>
      <c r="G18" s="4">
        <f t="shared" ref="G18:G25" si="12">ABS(C18-D18)</f>
        <v>0.30000000000000071</v>
      </c>
      <c r="H18" s="5">
        <f t="shared" si="8"/>
        <v>6.2000000000000028</v>
      </c>
      <c r="L18" s="3" t="s">
        <v>26</v>
      </c>
      <c r="M18" s="4">
        <v>16.5</v>
      </c>
      <c r="N18" s="4">
        <v>16.899999999999999</v>
      </c>
      <c r="O18" s="4">
        <v>100</v>
      </c>
      <c r="P18" s="4">
        <v>100</v>
      </c>
      <c r="Q18" s="4">
        <f t="shared" ref="Q18:Q25" si="13">ABS(M18-N18)</f>
        <v>0.39999999999999858</v>
      </c>
      <c r="R18" s="5">
        <f t="shared" si="9"/>
        <v>0</v>
      </c>
      <c r="V18" s="3" t="s">
        <v>26</v>
      </c>
      <c r="W18" s="4">
        <v>16.5</v>
      </c>
      <c r="X18" s="4">
        <v>17.600000000000001</v>
      </c>
      <c r="Y18" s="4">
        <v>100</v>
      </c>
      <c r="Z18" s="4">
        <v>99.6</v>
      </c>
      <c r="AA18" s="4">
        <f t="shared" ref="AA18:AA25" si="14">ABS(W18-X18)</f>
        <v>1.1000000000000014</v>
      </c>
      <c r="AB18" s="5">
        <f t="shared" si="10"/>
        <v>0.40000000000000568</v>
      </c>
      <c r="AG18" s="3" t="s">
        <v>26</v>
      </c>
      <c r="AH18" s="4">
        <v>16.5</v>
      </c>
      <c r="AI18" s="4"/>
      <c r="AJ18" s="4">
        <v>100</v>
      </c>
      <c r="AK18" s="4">
        <v>108</v>
      </c>
      <c r="AL18" s="4">
        <f t="shared" ref="AL18:AL25" si="15">ABS(AH18-AI18)</f>
        <v>16.5</v>
      </c>
      <c r="AM18" s="5">
        <f t="shared" si="11"/>
        <v>8</v>
      </c>
    </row>
    <row r="19" spans="2:40" x14ac:dyDescent="0.35">
      <c r="B19" s="6"/>
      <c r="C19" s="7">
        <v>12.5</v>
      </c>
      <c r="D19" s="7">
        <v>11</v>
      </c>
      <c r="E19" s="7">
        <v>75</v>
      </c>
      <c r="F19" s="7">
        <v>80</v>
      </c>
      <c r="G19" s="7">
        <f t="shared" si="12"/>
        <v>1.5</v>
      </c>
      <c r="H19" s="8">
        <f t="shared" si="8"/>
        <v>5</v>
      </c>
      <c r="L19" s="6"/>
      <c r="M19" s="7">
        <v>12.5</v>
      </c>
      <c r="N19" s="7">
        <v>11.7</v>
      </c>
      <c r="O19" s="7">
        <v>75</v>
      </c>
      <c r="P19" s="7">
        <v>58.5</v>
      </c>
      <c r="Q19" s="7">
        <f t="shared" si="13"/>
        <v>0.80000000000000071</v>
      </c>
      <c r="R19" s="8">
        <f t="shared" si="9"/>
        <v>16.5</v>
      </c>
      <c r="V19" s="6"/>
      <c r="W19" s="7">
        <v>12.5</v>
      </c>
      <c r="X19" s="7">
        <v>11</v>
      </c>
      <c r="Y19" s="7">
        <v>75</v>
      </c>
      <c r="Z19" s="7">
        <v>100.8</v>
      </c>
      <c r="AA19" s="7">
        <f t="shared" si="14"/>
        <v>1.5</v>
      </c>
      <c r="AB19" s="8">
        <f t="shared" si="10"/>
        <v>25.799999999999997</v>
      </c>
      <c r="AG19" s="6"/>
      <c r="AH19" s="7">
        <v>12.5</v>
      </c>
      <c r="AI19" s="7"/>
      <c r="AJ19" s="7">
        <v>75</v>
      </c>
      <c r="AK19" s="7">
        <v>62</v>
      </c>
      <c r="AL19" s="7">
        <f t="shared" si="15"/>
        <v>12.5</v>
      </c>
      <c r="AM19" s="8">
        <f t="shared" si="11"/>
        <v>13</v>
      </c>
    </row>
    <row r="20" spans="2:40" x14ac:dyDescent="0.35">
      <c r="B20" s="3" t="s">
        <v>27</v>
      </c>
      <c r="C20" s="4">
        <v>10</v>
      </c>
      <c r="D20" s="4">
        <v>10</v>
      </c>
      <c r="E20" s="4">
        <v>72</v>
      </c>
      <c r="F20" s="4">
        <v>78.8</v>
      </c>
      <c r="G20" s="4">
        <f t="shared" si="12"/>
        <v>0</v>
      </c>
      <c r="H20" s="5">
        <f t="shared" si="8"/>
        <v>6.7999999999999972</v>
      </c>
      <c r="L20" s="3" t="s">
        <v>27</v>
      </c>
      <c r="M20" s="4">
        <v>10</v>
      </c>
      <c r="N20" s="4">
        <v>8.3000000000000007</v>
      </c>
      <c r="O20" s="4">
        <v>72</v>
      </c>
      <c r="P20" s="4">
        <v>50.3</v>
      </c>
      <c r="Q20" s="4">
        <f t="shared" si="13"/>
        <v>1.6999999999999993</v>
      </c>
      <c r="R20" s="5">
        <f t="shared" si="9"/>
        <v>21.700000000000003</v>
      </c>
      <c r="V20" s="3" t="s">
        <v>27</v>
      </c>
      <c r="W20" s="4">
        <v>10</v>
      </c>
      <c r="X20" s="4">
        <v>10.3</v>
      </c>
      <c r="Y20" s="4">
        <v>72</v>
      </c>
      <c r="Z20" s="4">
        <v>93.8</v>
      </c>
      <c r="AA20" s="4">
        <f t="shared" si="14"/>
        <v>0.30000000000000071</v>
      </c>
      <c r="AB20" s="5">
        <f t="shared" si="10"/>
        <v>21.799999999999997</v>
      </c>
      <c r="AG20" s="3" t="s">
        <v>27</v>
      </c>
      <c r="AH20" s="4">
        <v>10</v>
      </c>
      <c r="AI20" s="4"/>
      <c r="AJ20" s="4">
        <v>72</v>
      </c>
      <c r="AK20" s="4">
        <v>157</v>
      </c>
      <c r="AL20" s="4">
        <f t="shared" si="15"/>
        <v>10</v>
      </c>
      <c r="AM20" s="5">
        <f t="shared" si="11"/>
        <v>85</v>
      </c>
    </row>
    <row r="21" spans="2:40" x14ac:dyDescent="0.35">
      <c r="B21" s="6"/>
      <c r="C21" s="7">
        <v>17.5</v>
      </c>
      <c r="D21" s="7">
        <v>17</v>
      </c>
      <c r="E21" s="7">
        <v>111</v>
      </c>
      <c r="F21" s="7">
        <v>74.3</v>
      </c>
      <c r="G21" s="7">
        <f t="shared" si="12"/>
        <v>0.5</v>
      </c>
      <c r="H21" s="8">
        <f t="shared" si="8"/>
        <v>36.700000000000003</v>
      </c>
      <c r="L21" s="6"/>
      <c r="M21" s="7">
        <v>17.5</v>
      </c>
      <c r="N21" s="7">
        <v>17.2</v>
      </c>
      <c r="O21" s="7">
        <v>111</v>
      </c>
      <c r="P21" s="7">
        <v>51.3</v>
      </c>
      <c r="Q21" s="7">
        <f t="shared" si="13"/>
        <v>0.30000000000000071</v>
      </c>
      <c r="R21" s="8">
        <f t="shared" si="9"/>
        <v>59.7</v>
      </c>
      <c r="V21" s="6"/>
      <c r="W21" s="7">
        <v>17.5</v>
      </c>
      <c r="X21" s="7">
        <v>16.899999999999999</v>
      </c>
      <c r="Y21" s="7">
        <v>111</v>
      </c>
      <c r="Z21" s="7">
        <v>99.6</v>
      </c>
      <c r="AA21" s="7">
        <f t="shared" si="14"/>
        <v>0.60000000000000142</v>
      </c>
      <c r="AB21" s="8">
        <f t="shared" si="10"/>
        <v>11.400000000000006</v>
      </c>
      <c r="AG21" s="6"/>
      <c r="AH21" s="7">
        <v>17.5</v>
      </c>
      <c r="AI21" s="7"/>
      <c r="AJ21" s="7">
        <v>111</v>
      </c>
      <c r="AK21" s="7">
        <v>75.3</v>
      </c>
      <c r="AL21" s="7">
        <f t="shared" si="15"/>
        <v>17.5</v>
      </c>
      <c r="AM21" s="8">
        <f t="shared" si="11"/>
        <v>35.700000000000003</v>
      </c>
    </row>
    <row r="22" spans="2:40" x14ac:dyDescent="0.35">
      <c r="B22" s="3" t="s">
        <v>28</v>
      </c>
      <c r="C22" s="4">
        <v>15.5</v>
      </c>
      <c r="D22" s="4">
        <v>14.6</v>
      </c>
      <c r="E22" s="4">
        <v>94</v>
      </c>
      <c r="F22" s="4">
        <v>85.5</v>
      </c>
      <c r="G22" s="4">
        <f t="shared" si="12"/>
        <v>0.90000000000000036</v>
      </c>
      <c r="H22" s="5">
        <f t="shared" si="8"/>
        <v>8.5</v>
      </c>
      <c r="L22" s="3" t="s">
        <v>28</v>
      </c>
      <c r="M22" s="4">
        <v>15.5</v>
      </c>
      <c r="N22" s="4">
        <v>14.6</v>
      </c>
      <c r="O22" s="4">
        <v>94</v>
      </c>
      <c r="P22" s="4">
        <v>48.4</v>
      </c>
      <c r="Q22" s="4">
        <f t="shared" si="13"/>
        <v>0.90000000000000036</v>
      </c>
      <c r="R22" s="5">
        <f t="shared" si="9"/>
        <v>45.6</v>
      </c>
      <c r="V22" s="3" t="s">
        <v>28</v>
      </c>
      <c r="W22" s="4">
        <v>15.5</v>
      </c>
      <c r="X22" s="4">
        <v>13.9</v>
      </c>
      <c r="Y22" s="4">
        <v>94</v>
      </c>
      <c r="Z22" s="4">
        <v>108.4</v>
      </c>
      <c r="AA22" s="4">
        <f t="shared" si="14"/>
        <v>1.5999999999999996</v>
      </c>
      <c r="AB22" s="5">
        <f t="shared" si="10"/>
        <v>14.400000000000006</v>
      </c>
      <c r="AG22" s="3" t="s">
        <v>28</v>
      </c>
      <c r="AH22" s="4">
        <v>15.5</v>
      </c>
      <c r="AI22" s="4"/>
      <c r="AJ22" s="4">
        <v>94</v>
      </c>
      <c r="AK22" s="4">
        <v>75</v>
      </c>
      <c r="AL22" s="4">
        <f t="shared" si="15"/>
        <v>15.5</v>
      </c>
      <c r="AM22" s="5">
        <f t="shared" si="11"/>
        <v>19</v>
      </c>
    </row>
    <row r="23" spans="2:40" x14ac:dyDescent="0.35">
      <c r="B23" s="6"/>
      <c r="C23" s="7">
        <v>13</v>
      </c>
      <c r="D23" s="7">
        <v>12.2</v>
      </c>
      <c r="E23" s="7">
        <v>94</v>
      </c>
      <c r="F23" s="7">
        <v>76</v>
      </c>
      <c r="G23" s="7">
        <f t="shared" si="12"/>
        <v>0.80000000000000071</v>
      </c>
      <c r="H23" s="8">
        <f t="shared" si="8"/>
        <v>18</v>
      </c>
      <c r="L23" s="6"/>
      <c r="M23" s="7">
        <v>13</v>
      </c>
      <c r="N23" s="7">
        <v>12.2</v>
      </c>
      <c r="O23" s="7">
        <v>94</v>
      </c>
      <c r="P23" s="7">
        <v>63.7</v>
      </c>
      <c r="Q23" s="7">
        <f t="shared" si="13"/>
        <v>0.80000000000000071</v>
      </c>
      <c r="R23" s="8">
        <f t="shared" si="9"/>
        <v>30.299999999999997</v>
      </c>
      <c r="V23" s="6"/>
      <c r="W23" s="7">
        <v>13</v>
      </c>
      <c r="X23" s="7">
        <v>11.7</v>
      </c>
      <c r="Y23" s="7">
        <v>94</v>
      </c>
      <c r="Z23" s="7">
        <v>112.8</v>
      </c>
      <c r="AA23" s="7">
        <f t="shared" si="14"/>
        <v>1.3000000000000007</v>
      </c>
      <c r="AB23" s="8">
        <f t="shared" si="10"/>
        <v>18.799999999999997</v>
      </c>
      <c r="AG23" s="6"/>
      <c r="AH23" s="7">
        <v>13</v>
      </c>
      <c r="AI23" s="7"/>
      <c r="AJ23" s="7">
        <v>94</v>
      </c>
      <c r="AK23" s="7">
        <v>115.5</v>
      </c>
      <c r="AL23" s="7">
        <f t="shared" si="15"/>
        <v>13</v>
      </c>
      <c r="AM23" s="8">
        <f t="shared" si="11"/>
        <v>21.5</v>
      </c>
    </row>
    <row r="24" spans="2:40" x14ac:dyDescent="0.35">
      <c r="B24" s="3" t="s">
        <v>29</v>
      </c>
      <c r="C24" s="4">
        <v>14.5</v>
      </c>
      <c r="D24" s="4">
        <v>13.9</v>
      </c>
      <c r="E24" s="4">
        <v>104</v>
      </c>
      <c r="F24" s="4">
        <v>98.2</v>
      </c>
      <c r="G24" s="4">
        <f t="shared" si="12"/>
        <v>0.59999999999999964</v>
      </c>
      <c r="H24" s="5">
        <f t="shared" si="8"/>
        <v>5.7999999999999972</v>
      </c>
      <c r="L24" s="3" t="s">
        <v>29</v>
      </c>
      <c r="M24" s="4">
        <v>14.5</v>
      </c>
      <c r="N24" s="4">
        <v>13.6</v>
      </c>
      <c r="O24" s="4">
        <v>104</v>
      </c>
      <c r="P24" s="4">
        <v>49</v>
      </c>
      <c r="Q24" s="4">
        <f t="shared" si="13"/>
        <v>0.90000000000000036</v>
      </c>
      <c r="R24" s="5">
        <f t="shared" si="9"/>
        <v>55</v>
      </c>
      <c r="V24" s="3" t="s">
        <v>29</v>
      </c>
      <c r="W24" s="4">
        <v>14.5</v>
      </c>
      <c r="X24" s="4">
        <v>13.2</v>
      </c>
      <c r="Y24" s="4">
        <v>104</v>
      </c>
      <c r="Z24" s="4">
        <v>126</v>
      </c>
      <c r="AA24" s="4">
        <f t="shared" si="14"/>
        <v>1.3000000000000007</v>
      </c>
      <c r="AB24" s="5">
        <f t="shared" si="10"/>
        <v>22</v>
      </c>
      <c r="AG24" s="3" t="s">
        <v>29</v>
      </c>
      <c r="AH24" s="4">
        <v>14.5</v>
      </c>
      <c r="AI24" s="4"/>
      <c r="AJ24" s="4">
        <v>104</v>
      </c>
      <c r="AK24" s="4">
        <v>120</v>
      </c>
      <c r="AL24" s="4">
        <f t="shared" si="15"/>
        <v>14.5</v>
      </c>
      <c r="AM24" s="5">
        <f t="shared" si="11"/>
        <v>16</v>
      </c>
    </row>
    <row r="25" spans="2:40" x14ac:dyDescent="0.35">
      <c r="B25" s="6"/>
      <c r="C25" s="7">
        <v>11</v>
      </c>
      <c r="D25" s="7">
        <v>10.5</v>
      </c>
      <c r="E25" s="7">
        <v>98</v>
      </c>
      <c r="F25" s="7">
        <v>76.3</v>
      </c>
      <c r="G25" s="7">
        <f t="shared" si="12"/>
        <v>0.5</v>
      </c>
      <c r="H25" s="8">
        <f t="shared" si="8"/>
        <v>21.700000000000003</v>
      </c>
      <c r="L25" s="6"/>
      <c r="M25" s="7">
        <v>11</v>
      </c>
      <c r="N25" s="7">
        <v>11.9</v>
      </c>
      <c r="O25" s="7">
        <v>98</v>
      </c>
      <c r="P25" s="7">
        <v>61.4</v>
      </c>
      <c r="Q25" s="7">
        <f t="shared" si="13"/>
        <v>0.90000000000000036</v>
      </c>
      <c r="R25" s="8">
        <f t="shared" si="9"/>
        <v>36.6</v>
      </c>
      <c r="V25" s="6"/>
      <c r="W25" s="7">
        <v>11</v>
      </c>
      <c r="X25" s="7">
        <v>10.3</v>
      </c>
      <c r="Y25" s="7">
        <v>98</v>
      </c>
      <c r="Z25" s="7">
        <v>93.8</v>
      </c>
      <c r="AA25" s="7">
        <f t="shared" si="14"/>
        <v>0.69999999999999929</v>
      </c>
      <c r="AB25" s="8">
        <f t="shared" si="10"/>
        <v>4.2000000000000028</v>
      </c>
      <c r="AG25" s="6"/>
      <c r="AH25" s="7">
        <v>11</v>
      </c>
      <c r="AI25" s="7"/>
      <c r="AJ25" s="7">
        <v>98</v>
      </c>
      <c r="AK25" s="7">
        <v>219</v>
      </c>
      <c r="AL25" s="7">
        <f t="shared" si="15"/>
        <v>11</v>
      </c>
      <c r="AM25" s="8">
        <f t="shared" si="11"/>
        <v>121</v>
      </c>
    </row>
    <row r="26" spans="2:40" x14ac:dyDescent="0.35">
      <c r="G26">
        <f>AVERAGE(G2:G25)</f>
        <v>0.85624999999999984</v>
      </c>
      <c r="H26">
        <f>AVERAGE(H2:H25)</f>
        <v>12.983333333333333</v>
      </c>
      <c r="Q26" s="15">
        <f>AVERAGE(Q2:Q25)</f>
        <v>0.6312500000000002</v>
      </c>
      <c r="R26" s="15">
        <f>AVERAGE(R2:R25)</f>
        <v>29.125</v>
      </c>
      <c r="S26" s="16"/>
      <c r="AA26">
        <f>AVERAGE(AA2:AA25)</f>
        <v>2.4395833333333337</v>
      </c>
      <c r="AB26">
        <f>AVERAGE(AB2:AB25)</f>
        <v>14.168749999999998</v>
      </c>
      <c r="AM26" s="15">
        <f>AVERAGE(AM2:AM25)</f>
        <v>39.412500000000009</v>
      </c>
      <c r="AN26" s="1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2025-12-15T15:16:16Z</dcterms:modified>
</cp:coreProperties>
</file>